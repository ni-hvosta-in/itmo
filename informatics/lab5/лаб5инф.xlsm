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935462ddd62cff6/Documents/"/>
    </mc:Choice>
  </mc:AlternateContent>
  <xr:revisionPtr revIDLastSave="0" documentId="14_{1B74C602-48F2-48A1-9423-8D65EC0E5357}" xr6:coauthVersionLast="47" xr6:coauthVersionMax="47" xr10:uidLastSave="{00000000-0000-0000-0000-000000000000}"/>
  <bookViews>
    <workbookView xWindow="-98" yWindow="-98" windowWidth="24196" windowHeight="14476" xr2:uid="{2CF661EE-98C5-4874-8372-B992316C712F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I2" i="1" a="1"/>
  <c r="I2" i="1" l="1"/>
  <c r="BE2" i="1"/>
  <c r="BE37" i="1"/>
  <c r="F8" i="1"/>
  <c r="F3" i="1"/>
  <c r="I3" i="1" a="1"/>
  <c r="T2" i="1" a="1"/>
  <c r="U2" i="1" a="1"/>
  <c r="AA2" i="1" a="1"/>
  <c r="O2" i="1" a="1"/>
  <c r="P2" i="1" a="1"/>
  <c r="AB2" i="1" a="1"/>
  <c r="R2" i="1" a="1"/>
  <c r="Q2" i="1" a="1"/>
  <c r="L2" i="1" a="1"/>
  <c r="K2" i="1" a="1"/>
  <c r="Z2" i="1" a="1"/>
  <c r="W2" i="1" a="1"/>
  <c r="M2" i="1" a="1"/>
  <c r="S2" i="1" a="1"/>
  <c r="V2" i="1" a="1"/>
  <c r="AC2" i="1" a="1"/>
  <c r="Y2" i="1" a="1"/>
  <c r="I8" i="1" a="1"/>
  <c r="N2" i="1" a="1"/>
  <c r="X2" i="1" a="1"/>
  <c r="K2" i="1" l="1"/>
  <c r="S2" i="1"/>
  <c r="AA2" i="1"/>
  <c r="L2" i="1"/>
  <c r="AB2" i="1"/>
  <c r="U2" i="1"/>
  <c r="T2" i="1"/>
  <c r="M2" i="1"/>
  <c r="AC2" i="1"/>
  <c r="V2" i="1"/>
  <c r="N2" i="1"/>
  <c r="Z2" i="1"/>
  <c r="Q2" i="1"/>
  <c r="AM2" i="1" s="1"/>
  <c r="O2" i="1"/>
  <c r="AK37" i="1" s="1"/>
  <c r="P2" i="1"/>
  <c r="AL37" i="1" s="1"/>
  <c r="R2" i="1"/>
  <c r="X2" i="1"/>
  <c r="Y2" i="1"/>
  <c r="W2" i="1"/>
  <c r="I8" i="1"/>
  <c r="I3" i="1"/>
  <c r="BE9" i="1"/>
  <c r="BE3" i="1"/>
  <c r="BE16" i="1"/>
  <c r="BE23" i="1"/>
  <c r="BE17" i="1"/>
  <c r="F9" i="1"/>
  <c r="F4" i="1"/>
  <c r="F6" i="1"/>
  <c r="AC3" i="1" a="1"/>
  <c r="I9" i="1" a="1"/>
  <c r="AB3" i="1" a="1"/>
  <c r="N3" i="1" a="1"/>
  <c r="AA3" i="1" a="1"/>
  <c r="W3" i="1" a="1"/>
  <c r="V3" i="1" a="1"/>
  <c r="K3" i="1" a="1"/>
  <c r="M3" i="1" a="1"/>
  <c r="L3" i="1" a="1"/>
  <c r="U3" i="1" a="1"/>
  <c r="Z3" i="1" a="1"/>
  <c r="R3" i="1" a="1"/>
  <c r="Y3" i="1" a="1"/>
  <c r="O3" i="1" a="1"/>
  <c r="Q3" i="1" a="1"/>
  <c r="T3" i="1" a="1"/>
  <c r="X3" i="1" a="1"/>
  <c r="S3" i="1" a="1"/>
  <c r="P3" i="1" a="1"/>
  <c r="P8" i="1" a="1"/>
  <c r="N8" i="1" a="1"/>
  <c r="AC8" i="1" a="1"/>
  <c r="S8" i="1" a="1"/>
  <c r="AE5" i="1" a="1"/>
  <c r="M8" i="1" a="1"/>
  <c r="U8" i="1" a="1"/>
  <c r="V8" i="1" a="1"/>
  <c r="AE19" i="1" a="1"/>
  <c r="X8" i="1" a="1"/>
  <c r="Y8" i="1" a="1"/>
  <c r="I6" i="1" a="1"/>
  <c r="O8" i="1" a="1"/>
  <c r="K8" i="1" a="1"/>
  <c r="AB8" i="1" a="1"/>
  <c r="I4" i="1" a="1"/>
  <c r="W8" i="1" a="1"/>
  <c r="BF2" i="1" a="1"/>
  <c r="T8" i="1" a="1"/>
  <c r="BF16" i="1" a="1"/>
  <c r="Q8" i="1" a="1"/>
  <c r="AA8" i="1" a="1"/>
  <c r="R8" i="1" a="1"/>
  <c r="L8" i="1" a="1"/>
  <c r="Z8" i="1" a="1"/>
  <c r="L8" i="1" l="1"/>
  <c r="Q8" i="1"/>
  <c r="Y8" i="1"/>
  <c r="Z8" i="1"/>
  <c r="S8" i="1"/>
  <c r="R8" i="1"/>
  <c r="K8" i="1"/>
  <c r="AA8" i="1"/>
  <c r="O8" i="1"/>
  <c r="AC8" i="1"/>
  <c r="U8" i="1"/>
  <c r="P8" i="1"/>
  <c r="T8" i="1"/>
  <c r="W8" i="1"/>
  <c r="X8" i="1"/>
  <c r="AB8" i="1"/>
  <c r="N8" i="1"/>
  <c r="V8" i="1"/>
  <c r="M8" i="1"/>
  <c r="P3" i="1"/>
  <c r="X3" i="1"/>
  <c r="Q3" i="1"/>
  <c r="Y3" i="1"/>
  <c r="R3" i="1"/>
  <c r="Z3" i="1"/>
  <c r="U3" i="1"/>
  <c r="L3" i="1"/>
  <c r="M3" i="1"/>
  <c r="K3" i="1"/>
  <c r="V3" i="1"/>
  <c r="W3" i="1"/>
  <c r="AA3" i="1"/>
  <c r="N3" i="1"/>
  <c r="AB3" i="1"/>
  <c r="AC3" i="1"/>
  <c r="S3" i="1"/>
  <c r="T3" i="1"/>
  <c r="O3" i="1"/>
  <c r="AL2" i="1"/>
  <c r="AJ2" i="1"/>
  <c r="AJ37" i="1"/>
  <c r="AM37" i="1"/>
  <c r="AK2" i="1"/>
  <c r="AH2" i="1"/>
  <c r="AH37" i="1"/>
  <c r="AI2" i="1"/>
  <c r="AI37" i="1"/>
  <c r="AG2" i="1"/>
  <c r="AG37" i="1"/>
  <c r="I6" i="1"/>
  <c r="I9" i="1"/>
  <c r="I4" i="1"/>
  <c r="AN2" i="1"/>
  <c r="AN37" i="1"/>
  <c r="AO2" i="1"/>
  <c r="AO37" i="1"/>
  <c r="AE5" i="1"/>
  <c r="BF2" i="1"/>
  <c r="BE5" i="1"/>
  <c r="BF16" i="1"/>
  <c r="BE19" i="1"/>
  <c r="BE38" i="1"/>
  <c r="BE30" i="1"/>
  <c r="BE24" i="1"/>
  <c r="BE26" i="1" s="1"/>
  <c r="F5" i="1"/>
  <c r="BE10" i="1"/>
  <c r="BE45" i="1"/>
  <c r="AE19" i="1"/>
  <c r="F12" i="1"/>
  <c r="F10" i="1"/>
  <c r="U9" i="1" a="1"/>
  <c r="L9" i="1" a="1"/>
  <c r="X9" i="1" a="1"/>
  <c r="P9" i="1" a="1"/>
  <c r="W9" i="1" a="1"/>
  <c r="AC9" i="1" a="1"/>
  <c r="Q9" i="1" a="1"/>
  <c r="AB9" i="1" a="1"/>
  <c r="S9" i="1" a="1"/>
  <c r="Y9" i="1" a="1"/>
  <c r="K9" i="1" a="1"/>
  <c r="AA9" i="1" a="1"/>
  <c r="O9" i="1" a="1"/>
  <c r="V9" i="1" a="1"/>
  <c r="T9" i="1" a="1"/>
  <c r="R9" i="1" a="1"/>
  <c r="M9" i="1" a="1"/>
  <c r="Z9" i="1" a="1"/>
  <c r="N9" i="1" a="1"/>
  <c r="I12" i="1" a="1"/>
  <c r="Z6" i="1" a="1"/>
  <c r="AO19" i="1" a="1"/>
  <c r="AQ19" i="1" a="1"/>
  <c r="AL5" i="1" a="1"/>
  <c r="AE26" i="1" a="1"/>
  <c r="W6" i="1" a="1"/>
  <c r="AV5" i="1" a="1"/>
  <c r="R4" i="1" a="1"/>
  <c r="T6" i="1" a="1"/>
  <c r="AN5" i="1" a="1"/>
  <c r="L4" i="1" a="1"/>
  <c r="T4" i="1" a="1"/>
  <c r="K4" i="1" a="1"/>
  <c r="O6" i="1" a="1"/>
  <c r="AN19" i="1" a="1"/>
  <c r="AK19" i="1" a="1"/>
  <c r="AR5" i="1" a="1"/>
  <c r="S6" i="1" a="1"/>
  <c r="N4" i="1" a="1"/>
  <c r="BA5" i="1" a="1"/>
  <c r="BF23" i="1" a="1"/>
  <c r="I5" i="1" a="1"/>
  <c r="Q6" i="1" a="1"/>
  <c r="AU5" i="1" a="1"/>
  <c r="AE40" i="1" a="1"/>
  <c r="AB4" i="1" a="1"/>
  <c r="M4" i="1" a="1"/>
  <c r="X4" i="1" a="1"/>
  <c r="S4" i="1" a="1"/>
  <c r="AB6" i="1" a="1"/>
  <c r="AH19" i="1" a="1"/>
  <c r="P4" i="1" a="1"/>
  <c r="AJ5" i="1" a="1"/>
  <c r="AU19" i="1" a="1"/>
  <c r="AA6" i="1" a="1"/>
  <c r="AS19" i="1" a="1"/>
  <c r="AP19" i="1" a="1"/>
  <c r="Z4" i="1" a="1"/>
  <c r="AO5" i="1" a="1"/>
  <c r="R6" i="1" a="1"/>
  <c r="AM19" i="1" a="1"/>
  <c r="AE12" i="1" a="1"/>
  <c r="BF9" i="1" a="1"/>
  <c r="AY19" i="1" a="1"/>
  <c r="BF37" i="1" a="1"/>
  <c r="AP5" i="1" a="1"/>
  <c r="K6" i="1" a="1"/>
  <c r="V6" i="1" a="1"/>
  <c r="AK5" i="1" a="1"/>
  <c r="AV19" i="1" a="1"/>
  <c r="AS5" i="1" a="1"/>
  <c r="AI5" i="1" a="1"/>
  <c r="AG5" i="1" a="1"/>
  <c r="BA19" i="1" a="1"/>
  <c r="AI19" i="1" a="1"/>
  <c r="I10" i="1" a="1"/>
  <c r="AJ19" i="1" a="1"/>
  <c r="Y6" i="1" a="1"/>
  <c r="AW5" i="1" a="1"/>
  <c r="X6" i="1" a="1"/>
  <c r="AL19" i="1" a="1"/>
  <c r="AC6" i="1" a="1"/>
  <c r="M6" i="1" a="1"/>
  <c r="AW19" i="1" a="1"/>
  <c r="V4" i="1" a="1"/>
  <c r="AX5" i="1" a="1"/>
  <c r="AY5" i="1" a="1"/>
  <c r="N6" i="1" a="1"/>
  <c r="AH5" i="1" a="1"/>
  <c r="U6" i="1" a="1"/>
  <c r="O4" i="1" a="1"/>
  <c r="L6" i="1" a="1"/>
  <c r="W4" i="1" a="1"/>
  <c r="AA4" i="1" a="1"/>
  <c r="AC4" i="1" a="1"/>
  <c r="AM5" i="1" a="1"/>
  <c r="AG19" i="1" a="1"/>
  <c r="AX19" i="1" a="1"/>
  <c r="Q4" i="1" a="1"/>
  <c r="AR19" i="1" a="1"/>
  <c r="Y4" i="1" a="1"/>
  <c r="AQ5" i="1" a="1"/>
  <c r="AT19" i="1" a="1"/>
  <c r="U4" i="1" a="1"/>
  <c r="P6" i="1" a="1"/>
  <c r="AT5" i="1" a="1"/>
  <c r="L9" i="1" l="1"/>
  <c r="AG5" i="1"/>
  <c r="BA7" i="1" s="1"/>
  <c r="AH5" i="1"/>
  <c r="AK5" i="1"/>
  <c r="AV5" i="1"/>
  <c r="AX5" i="1"/>
  <c r="AP5" i="1"/>
  <c r="AJ5" i="1"/>
  <c r="AR5" i="1"/>
  <c r="AL5" i="1"/>
  <c r="AT5" i="1"/>
  <c r="AM5" i="1"/>
  <c r="AW5" i="1"/>
  <c r="AU5" i="1"/>
  <c r="AQ5" i="1"/>
  <c r="AO7" i="1" s="1"/>
  <c r="AO5" i="1"/>
  <c r="AN5" i="1"/>
  <c r="AI5" i="1"/>
  <c r="AS5" i="1"/>
  <c r="AY5" i="1"/>
  <c r="AK19" i="1"/>
  <c r="AQ19" i="1"/>
  <c r="AY19" i="1"/>
  <c r="AL19" i="1"/>
  <c r="AT19" i="1"/>
  <c r="AJ19" i="1"/>
  <c r="AM19" i="1"/>
  <c r="AI19" i="1"/>
  <c r="AR19" i="1"/>
  <c r="AP19" i="1"/>
  <c r="AV19" i="1"/>
  <c r="AS19" i="1"/>
  <c r="AX19" i="1"/>
  <c r="AW19" i="1"/>
  <c r="AU19" i="1"/>
  <c r="AH19" i="1"/>
  <c r="AN19" i="1"/>
  <c r="AO19" i="1"/>
  <c r="AG19" i="1"/>
  <c r="BA21" i="1" s="1"/>
  <c r="AA6" i="1"/>
  <c r="K6" i="1"/>
  <c r="M6" i="1"/>
  <c r="S6" i="1"/>
  <c r="AB6" i="1"/>
  <c r="O6" i="1"/>
  <c r="Z6" i="1"/>
  <c r="P6" i="1"/>
  <c r="X6" i="1"/>
  <c r="Y6" i="1"/>
  <c r="Q6" i="1"/>
  <c r="R6" i="1"/>
  <c r="L6" i="1"/>
  <c r="T6" i="1"/>
  <c r="U6" i="1"/>
  <c r="N6" i="1"/>
  <c r="V6" i="1"/>
  <c r="W6" i="1"/>
  <c r="AC6" i="1"/>
  <c r="M4" i="1"/>
  <c r="U4" i="1"/>
  <c r="AC4" i="1"/>
  <c r="N4" i="1"/>
  <c r="V4" i="1"/>
  <c r="O4" i="1"/>
  <c r="W4" i="1"/>
  <c r="P4" i="1"/>
  <c r="AA4" i="1"/>
  <c r="R4" i="1"/>
  <c r="Q4" i="1"/>
  <c r="AB4" i="1"/>
  <c r="S4" i="1"/>
  <c r="K4" i="1"/>
  <c r="L4" i="1"/>
  <c r="T4" i="1"/>
  <c r="X4" i="1"/>
  <c r="Y4" i="1"/>
  <c r="Z4" i="1"/>
  <c r="N9" i="1"/>
  <c r="V9" i="1"/>
  <c r="W9" i="1"/>
  <c r="P9" i="1"/>
  <c r="O9" i="1"/>
  <c r="X9" i="1"/>
  <c r="AA9" i="1"/>
  <c r="U9" i="1"/>
  <c r="K9" i="1"/>
  <c r="Y9" i="1"/>
  <c r="Z9" i="1"/>
  <c r="M9" i="1"/>
  <c r="R9" i="1"/>
  <c r="S9" i="1"/>
  <c r="T9" i="1"/>
  <c r="AB9" i="1"/>
  <c r="Q9" i="1"/>
  <c r="AC9" i="1"/>
  <c r="AR16" i="1"/>
  <c r="AR3" i="1"/>
  <c r="AR9" i="1"/>
  <c r="AT23" i="1"/>
  <c r="AT17" i="1"/>
  <c r="AP17" i="1"/>
  <c r="AP23" i="1"/>
  <c r="AJ23" i="1"/>
  <c r="AJ17" i="1"/>
  <c r="AS16" i="1"/>
  <c r="AS3" i="1"/>
  <c r="AS9" i="1"/>
  <c r="AS23" i="1"/>
  <c r="AS17" i="1"/>
  <c r="AI9" i="1"/>
  <c r="AI3" i="1"/>
  <c r="AI16" i="1"/>
  <c r="AH16" i="1"/>
  <c r="AH3" i="1"/>
  <c r="AH9" i="1"/>
  <c r="AQ17" i="1"/>
  <c r="AQ23" i="1"/>
  <c r="AV9" i="1"/>
  <c r="AV3" i="1"/>
  <c r="AV16" i="1"/>
  <c r="AK17" i="1"/>
  <c r="AK23" i="1"/>
  <c r="AU16" i="1"/>
  <c r="AU3" i="1"/>
  <c r="AU9" i="1"/>
  <c r="AW23" i="1"/>
  <c r="AW17" i="1"/>
  <c r="AT3" i="1"/>
  <c r="AT9" i="1"/>
  <c r="AT16" i="1"/>
  <c r="AO16" i="1"/>
  <c r="AO9" i="1"/>
  <c r="AO3" i="1"/>
  <c r="AL16" i="1"/>
  <c r="AL9" i="1"/>
  <c r="AL3" i="1"/>
  <c r="AO17" i="1"/>
  <c r="AO23" i="1"/>
  <c r="AY16" i="1"/>
  <c r="AY9" i="1"/>
  <c r="AY3" i="1"/>
  <c r="AI23" i="1"/>
  <c r="AI17" i="1"/>
  <c r="AV23" i="1"/>
  <c r="AV17" i="1"/>
  <c r="AX9" i="1"/>
  <c r="AX3" i="1"/>
  <c r="AX16" i="1"/>
  <c r="AH17" i="1"/>
  <c r="AH23" i="1"/>
  <c r="AU17" i="1"/>
  <c r="AU23" i="1"/>
  <c r="AW3" i="1"/>
  <c r="AW9" i="1"/>
  <c r="AW16" i="1"/>
  <c r="AX17" i="1"/>
  <c r="AX23" i="1"/>
  <c r="AG3" i="1"/>
  <c r="BC7" i="1" s="1"/>
  <c r="AG16" i="1"/>
  <c r="AG9" i="1"/>
  <c r="AL23" i="1"/>
  <c r="AL17" i="1"/>
  <c r="AQ16" i="1"/>
  <c r="AQ3" i="1"/>
  <c r="AQ9" i="1"/>
  <c r="AY23" i="1"/>
  <c r="AY17" i="1"/>
  <c r="AN3" i="1"/>
  <c r="AN9" i="1"/>
  <c r="AN16" i="1"/>
  <c r="AK9" i="1"/>
  <c r="AK16" i="1"/>
  <c r="AK3" i="1"/>
  <c r="AM16" i="1"/>
  <c r="AM3" i="1"/>
  <c r="AM9" i="1"/>
  <c r="AG23" i="1"/>
  <c r="AG17" i="1"/>
  <c r="AP3" i="1"/>
  <c r="AP16" i="1"/>
  <c r="AP9" i="1"/>
  <c r="AN17" i="1"/>
  <c r="AN23" i="1"/>
  <c r="AJ3" i="1"/>
  <c r="AJ9" i="1"/>
  <c r="AJ16" i="1"/>
  <c r="AR23" i="1"/>
  <c r="AR17" i="1"/>
  <c r="AM17" i="1"/>
  <c r="AM23" i="1"/>
  <c r="I10" i="1"/>
  <c r="I12" i="1"/>
  <c r="I5" i="1"/>
  <c r="F7" i="1"/>
  <c r="AQ2" i="1"/>
  <c r="AQ37" i="1"/>
  <c r="AP37" i="1"/>
  <c r="AP2" i="1"/>
  <c r="BF23" i="1"/>
  <c r="BF37" i="1"/>
  <c r="BE40" i="1"/>
  <c r="F11" i="1"/>
  <c r="BA19" i="1"/>
  <c r="AY21" i="1" s="1"/>
  <c r="BF9" i="1"/>
  <c r="BE12" i="1"/>
  <c r="BA5" i="1"/>
  <c r="AY7" i="1" s="1"/>
  <c r="BE31" i="1"/>
  <c r="BE44" i="1"/>
  <c r="AE40" i="1"/>
  <c r="AE26" i="1"/>
  <c r="AE12" i="1"/>
  <c r="AO26" i="1" a="1"/>
  <c r="AJ40" i="1" a="1"/>
  <c r="BA40" i="1" a="1"/>
  <c r="AL12" i="1" a="1"/>
  <c r="P5" i="1" a="1"/>
  <c r="N12" i="1" a="1"/>
  <c r="N5" i="1" a="1"/>
  <c r="AB5" i="1" a="1"/>
  <c r="Z5" i="1" a="1"/>
  <c r="AM40" i="1" a="1"/>
  <c r="Q10" i="1" a="1"/>
  <c r="AE33" i="1" a="1"/>
  <c r="V5" i="1" a="1"/>
  <c r="AT26" i="1" a="1"/>
  <c r="M5" i="1" a="1"/>
  <c r="R10" i="1" a="1"/>
  <c r="AI12" i="1" a="1"/>
  <c r="W5" i="1" a="1"/>
  <c r="AN26" i="1" a="1"/>
  <c r="AX40" i="1" a="1"/>
  <c r="AU12" i="1" a="1"/>
  <c r="AJ12" i="1" a="1"/>
  <c r="N10" i="1" a="1"/>
  <c r="K12" i="1" a="1"/>
  <c r="BF30" i="1" a="1"/>
  <c r="AY12" i="1" a="1"/>
  <c r="AP26" i="1" a="1"/>
  <c r="AT12" i="1" a="1"/>
  <c r="AA12" i="1" a="1"/>
  <c r="AH26" i="1" a="1"/>
  <c r="AQ40" i="1" a="1"/>
  <c r="AC10" i="1" a="1"/>
  <c r="AS40" i="1" a="1"/>
  <c r="M10" i="1" a="1"/>
  <c r="L10" i="1" a="1"/>
  <c r="AE47" i="1" a="1"/>
  <c r="W10" i="1" a="1"/>
  <c r="AL26" i="1" a="1"/>
  <c r="X5" i="1" a="1"/>
  <c r="P10" i="1" a="1"/>
  <c r="K10" i="1" a="1"/>
  <c r="AW40" i="1" a="1"/>
  <c r="S10" i="1" a="1"/>
  <c r="Q12" i="1" a="1"/>
  <c r="AN40" i="1" a="1"/>
  <c r="AQ26" i="1" a="1"/>
  <c r="AK26" i="1" a="1"/>
  <c r="AO40" i="1" a="1"/>
  <c r="AM12" i="1" a="1"/>
  <c r="AW12" i="1" a="1"/>
  <c r="AC5" i="1" a="1"/>
  <c r="Y12" i="1" a="1"/>
  <c r="BA12" i="1" a="1"/>
  <c r="AY26" i="1" a="1"/>
  <c r="AC12" i="1" a="1"/>
  <c r="O12" i="1" a="1"/>
  <c r="AQ12" i="1" a="1"/>
  <c r="S12" i="1" a="1"/>
  <c r="AI26" i="1" a="1"/>
  <c r="AV26" i="1" a="1"/>
  <c r="AP40" i="1" a="1"/>
  <c r="AO12" i="1" a="1"/>
  <c r="AP12" i="1" a="1"/>
  <c r="BA26" i="1" a="1"/>
  <c r="AB12" i="1" a="1"/>
  <c r="T5" i="1" a="1"/>
  <c r="O10" i="1" a="1"/>
  <c r="O5" i="1" a="1"/>
  <c r="R5" i="1" a="1"/>
  <c r="X10" i="1" a="1"/>
  <c r="I7" i="1" a="1"/>
  <c r="V10" i="1" a="1"/>
  <c r="AY40" i="1" a="1"/>
  <c r="AJ26" i="1" a="1"/>
  <c r="AI40" i="1" a="1"/>
  <c r="AR40" i="1" a="1"/>
  <c r="AX12" i="1" a="1"/>
  <c r="Z10" i="1" a="1"/>
  <c r="L12" i="1" a="1"/>
  <c r="S5" i="1" a="1"/>
  <c r="AM26" i="1" a="1"/>
  <c r="AG40" i="1" a="1"/>
  <c r="AH12" i="1" a="1"/>
  <c r="K5" i="1" a="1"/>
  <c r="AS26" i="1" a="1"/>
  <c r="AK40" i="1" a="1"/>
  <c r="AV12" i="1" a="1"/>
  <c r="AA5" i="1" a="1"/>
  <c r="X12" i="1" a="1"/>
  <c r="U5" i="1" a="1"/>
  <c r="AG26" i="1" a="1"/>
  <c r="AR26" i="1" a="1"/>
  <c r="AT40" i="1" a="1"/>
  <c r="AN12" i="1" a="1"/>
  <c r="AA10" i="1" a="1"/>
  <c r="AB10" i="1" a="1"/>
  <c r="W12" i="1" a="1"/>
  <c r="Y10" i="1" a="1"/>
  <c r="AH40" i="1" a="1"/>
  <c r="BF44" i="1" a="1"/>
  <c r="Y5" i="1" a="1"/>
  <c r="AR12" i="1" a="1"/>
  <c r="M12" i="1" a="1"/>
  <c r="AU40" i="1" a="1"/>
  <c r="U10" i="1" a="1"/>
  <c r="AW26" i="1" a="1"/>
  <c r="AX26" i="1" a="1"/>
  <c r="T10" i="1" a="1"/>
  <c r="AV40" i="1" a="1"/>
  <c r="AS12" i="1" a="1"/>
  <c r="L5" i="1" a="1"/>
  <c r="R12" i="1" a="1"/>
  <c r="V12" i="1" a="1"/>
  <c r="Q5" i="1" a="1"/>
  <c r="P12" i="1" a="1"/>
  <c r="AU26" i="1" a="1"/>
  <c r="AK12" i="1" a="1"/>
  <c r="T12" i="1" a="1"/>
  <c r="I11" i="1" a="1"/>
  <c r="U12" i="1" a="1"/>
  <c r="AL40" i="1" a="1"/>
  <c r="AG12" i="1" a="1"/>
  <c r="Z12" i="1" a="1"/>
  <c r="AA12" i="1" l="1"/>
  <c r="AW44" i="1" s="1"/>
  <c r="AC12" i="1"/>
  <c r="AY44" i="1" s="1"/>
  <c r="V12" i="1"/>
  <c r="W12" i="1"/>
  <c r="AB12" i="1"/>
  <c r="AX44" i="1" s="1"/>
  <c r="Y12" i="1"/>
  <c r="K12" i="1"/>
  <c r="N12" i="1"/>
  <c r="AJ44" i="1" s="1"/>
  <c r="X12" i="1"/>
  <c r="AT44" i="1" s="1"/>
  <c r="Q12" i="1"/>
  <c r="AM44" i="1" s="1"/>
  <c r="L12" i="1"/>
  <c r="AH44" i="1" s="1"/>
  <c r="Z12" i="1"/>
  <c r="AV44" i="1" s="1"/>
  <c r="M12" i="1"/>
  <c r="AI44" i="1" s="1"/>
  <c r="U12" i="1"/>
  <c r="AQ44" i="1" s="1"/>
  <c r="T12" i="1"/>
  <c r="AP44" i="1" s="1"/>
  <c r="S12" i="1"/>
  <c r="AO44" i="1" s="1"/>
  <c r="O12" i="1"/>
  <c r="AK44" i="1" s="1"/>
  <c r="P12" i="1"/>
  <c r="R12" i="1"/>
  <c r="AP12" i="1"/>
  <c r="AW12" i="1"/>
  <c r="AJ12" i="1"/>
  <c r="AL12" i="1"/>
  <c r="AV12" i="1"/>
  <c r="AH12" i="1"/>
  <c r="AX12" i="1"/>
  <c r="AG12" i="1"/>
  <c r="BA14" i="1" s="1"/>
  <c r="AI12" i="1"/>
  <c r="AR12" i="1"/>
  <c r="AK12" i="1"/>
  <c r="AQ12" i="1"/>
  <c r="AT12" i="1"/>
  <c r="AY12" i="1"/>
  <c r="AS12" i="1"/>
  <c r="AN12" i="1"/>
  <c r="AO12" i="1"/>
  <c r="AM12" i="1"/>
  <c r="AU12" i="1"/>
  <c r="AK40" i="1"/>
  <c r="AG40" i="1"/>
  <c r="BA42" i="1" s="1"/>
  <c r="AR40" i="1"/>
  <c r="AU40" i="1"/>
  <c r="AL40" i="1"/>
  <c r="AY40" i="1"/>
  <c r="AS40" i="1"/>
  <c r="AQ40" i="1"/>
  <c r="AM40" i="1"/>
  <c r="AH40" i="1"/>
  <c r="AV40" i="1"/>
  <c r="AT40" i="1"/>
  <c r="AP40" i="1"/>
  <c r="AO40" i="1"/>
  <c r="AX40" i="1"/>
  <c r="AJ40" i="1"/>
  <c r="AN40" i="1"/>
  <c r="AW40" i="1"/>
  <c r="AI40" i="1"/>
  <c r="L10" i="1"/>
  <c r="AH31" i="1" s="1"/>
  <c r="AR26" i="1"/>
  <c r="AV26" i="1"/>
  <c r="AK26" i="1"/>
  <c r="AN26" i="1"/>
  <c r="AO26" i="1"/>
  <c r="AS26" i="1"/>
  <c r="AM26" i="1"/>
  <c r="AW26" i="1"/>
  <c r="AL26" i="1"/>
  <c r="AJ26" i="1"/>
  <c r="AT26" i="1"/>
  <c r="AU26" i="1"/>
  <c r="AH26" i="1"/>
  <c r="AP26" i="1"/>
  <c r="AY26" i="1"/>
  <c r="AX26" i="1"/>
  <c r="AG26" i="1"/>
  <c r="BA28" i="1" s="1"/>
  <c r="AI26" i="1"/>
  <c r="AQ26" i="1"/>
  <c r="AO21" i="1"/>
  <c r="AT21" i="1"/>
  <c r="R5" i="1"/>
  <c r="Z5" i="1"/>
  <c r="K5" i="1"/>
  <c r="S5" i="1"/>
  <c r="AA5" i="1"/>
  <c r="L5" i="1"/>
  <c r="AB5" i="1"/>
  <c r="T5" i="1"/>
  <c r="V5" i="1"/>
  <c r="X5" i="1"/>
  <c r="N5" i="1"/>
  <c r="W5" i="1"/>
  <c r="M5" i="1"/>
  <c r="Y5" i="1"/>
  <c r="AC5" i="1"/>
  <c r="U5" i="1"/>
  <c r="P5" i="1"/>
  <c r="Q5" i="1"/>
  <c r="O5" i="1"/>
  <c r="AR44" i="1"/>
  <c r="AS44" i="1"/>
  <c r="AN44" i="1"/>
  <c r="AG44" i="1"/>
  <c r="AL44" i="1"/>
  <c r="AU44" i="1"/>
  <c r="K10" i="1"/>
  <c r="AG31" i="1" s="1"/>
  <c r="S10" i="1"/>
  <c r="AO31" i="1" s="1"/>
  <c r="AA10" i="1"/>
  <c r="AW31" i="1" s="1"/>
  <c r="T10" i="1"/>
  <c r="AP31" i="1" s="1"/>
  <c r="M10" i="1"/>
  <c r="AI31" i="1" s="1"/>
  <c r="AC10" i="1"/>
  <c r="AY31" i="1" s="1"/>
  <c r="AB10" i="1"/>
  <c r="AX31" i="1" s="1"/>
  <c r="U10" i="1"/>
  <c r="AQ31" i="1" s="1"/>
  <c r="P10" i="1"/>
  <c r="AL31" i="1" s="1"/>
  <c r="R10" i="1"/>
  <c r="AN31" i="1" s="1"/>
  <c r="Q10" i="1"/>
  <c r="AM31" i="1" s="1"/>
  <c r="V10" i="1"/>
  <c r="AR31" i="1" s="1"/>
  <c r="N10" i="1"/>
  <c r="AJ31" i="1" s="1"/>
  <c r="X10" i="1"/>
  <c r="AT31" i="1" s="1"/>
  <c r="Y10" i="1"/>
  <c r="AU31" i="1" s="1"/>
  <c r="O10" i="1"/>
  <c r="AK31" i="1" s="1"/>
  <c r="W10" i="1"/>
  <c r="AS31" i="1" s="1"/>
  <c r="Z10" i="1"/>
  <c r="AV31" i="1" s="1"/>
  <c r="AT28" i="1"/>
  <c r="AO10" i="1"/>
  <c r="AO45" i="1"/>
  <c r="AW30" i="1"/>
  <c r="AW24" i="1"/>
  <c r="AW38" i="1"/>
  <c r="AK10" i="1"/>
  <c r="AK45" i="1"/>
  <c r="AH45" i="1"/>
  <c r="AH10" i="1"/>
  <c r="AU24" i="1"/>
  <c r="AU30" i="1"/>
  <c r="AU38" i="1"/>
  <c r="AG38" i="1"/>
  <c r="AG30" i="1"/>
  <c r="AG24" i="1"/>
  <c r="AX45" i="1"/>
  <c r="AX10" i="1"/>
  <c r="AM10" i="1"/>
  <c r="AM45" i="1"/>
  <c r="AN45" i="1"/>
  <c r="AN10" i="1"/>
  <c r="AT30" i="1"/>
  <c r="AT24" i="1"/>
  <c r="AT38" i="1"/>
  <c r="AK30" i="1"/>
  <c r="AK38" i="1"/>
  <c r="AK24" i="1"/>
  <c r="AS10" i="1"/>
  <c r="AS45" i="1"/>
  <c r="AS30" i="1"/>
  <c r="AS38" i="1"/>
  <c r="AS24" i="1"/>
  <c r="AR38" i="1"/>
  <c r="AR24" i="1"/>
  <c r="AR30" i="1"/>
  <c r="AR45" i="1"/>
  <c r="AR10" i="1"/>
  <c r="AJ10" i="1"/>
  <c r="AJ45" i="1"/>
  <c r="AP30" i="1"/>
  <c r="AP24" i="1"/>
  <c r="AP38" i="1"/>
  <c r="AV45" i="1"/>
  <c r="AV10" i="1"/>
  <c r="AY10" i="1"/>
  <c r="AY45" i="1"/>
  <c r="AP45" i="1"/>
  <c r="AP10" i="1"/>
  <c r="AQ30" i="1"/>
  <c r="AQ24" i="1"/>
  <c r="AQ38" i="1"/>
  <c r="AH30" i="1"/>
  <c r="AH24" i="1"/>
  <c r="AH38" i="1"/>
  <c r="AW10" i="1"/>
  <c r="AW45" i="1"/>
  <c r="AL30" i="1"/>
  <c r="AL38" i="1"/>
  <c r="AL24" i="1"/>
  <c r="AM30" i="1"/>
  <c r="AM38" i="1"/>
  <c r="AM24" i="1"/>
  <c r="AX30" i="1"/>
  <c r="AX24" i="1"/>
  <c r="AX38" i="1"/>
  <c r="AJ7" i="1"/>
  <c r="AO24" i="1"/>
  <c r="AO38" i="1"/>
  <c r="AO30" i="1"/>
  <c r="AU10" i="1"/>
  <c r="AU45" i="1"/>
  <c r="AQ45" i="1"/>
  <c r="AQ10" i="1"/>
  <c r="AI38" i="1"/>
  <c r="AI30" i="1"/>
  <c r="AI24" i="1"/>
  <c r="AV24" i="1"/>
  <c r="AV38" i="1"/>
  <c r="AV30" i="1"/>
  <c r="AG10" i="1"/>
  <c r="AG45" i="1"/>
  <c r="BC21" i="1"/>
  <c r="AJ21" i="1"/>
  <c r="AL45" i="1"/>
  <c r="AL10" i="1"/>
  <c r="AY30" i="1"/>
  <c r="AY38" i="1"/>
  <c r="AY24" i="1"/>
  <c r="AJ38" i="1"/>
  <c r="AJ24" i="1"/>
  <c r="AJ30" i="1"/>
  <c r="AN38" i="1"/>
  <c r="AN30" i="1"/>
  <c r="AN24" i="1"/>
  <c r="AT10" i="1"/>
  <c r="AT45" i="1"/>
  <c r="AI10" i="1"/>
  <c r="AI45" i="1"/>
  <c r="I11" i="1"/>
  <c r="I7" i="1"/>
  <c r="F13" i="1"/>
  <c r="AR37" i="1"/>
  <c r="AR2" i="1"/>
  <c r="AS2" i="1"/>
  <c r="AS37" i="1"/>
  <c r="BA12" i="1"/>
  <c r="AY14" i="1" s="1"/>
  <c r="BA26" i="1"/>
  <c r="AY28" i="1" s="1"/>
  <c r="BF44" i="1"/>
  <c r="BF30" i="1"/>
  <c r="BE47" i="1"/>
  <c r="BE33" i="1"/>
  <c r="BA40" i="1"/>
  <c r="AY42" i="1" s="1"/>
  <c r="AE47" i="1"/>
  <c r="AE33" i="1"/>
  <c r="BA47" i="1" a="1"/>
  <c r="AM33" i="1" a="1"/>
  <c r="Z11" i="1" a="1"/>
  <c r="AN47" i="1" a="1"/>
  <c r="AC11" i="1" a="1"/>
  <c r="AT33" i="1" a="1"/>
  <c r="AV47" i="1" a="1"/>
  <c r="AJ47" i="1" a="1"/>
  <c r="L11" i="1" a="1"/>
  <c r="AG33" i="1" a="1"/>
  <c r="AU47" i="1" a="1"/>
  <c r="AV33" i="1" a="1"/>
  <c r="V7" i="1" a="1"/>
  <c r="K11" i="1" a="1"/>
  <c r="U7" i="1" a="1"/>
  <c r="AL47" i="1" a="1"/>
  <c r="W7" i="1" a="1"/>
  <c r="R11" i="1" a="1"/>
  <c r="W11" i="1" a="1"/>
  <c r="AW33" i="1" a="1"/>
  <c r="T7" i="1" a="1"/>
  <c r="N7" i="1" a="1"/>
  <c r="P7" i="1" a="1"/>
  <c r="AQ47" i="1" a="1"/>
  <c r="AH33" i="1" a="1"/>
  <c r="AK47" i="1" a="1"/>
  <c r="AY47" i="1" a="1"/>
  <c r="AU33" i="1" a="1"/>
  <c r="AA11" i="1" a="1"/>
  <c r="P11" i="1" a="1"/>
  <c r="AG47" i="1" a="1"/>
  <c r="AC7" i="1" a="1"/>
  <c r="AX47" i="1" a="1"/>
  <c r="AB11" i="1" a="1"/>
  <c r="V11" i="1" a="1"/>
  <c r="AP47" i="1" a="1"/>
  <c r="U11" i="1" a="1"/>
  <c r="AO47" i="1" a="1"/>
  <c r="I13" i="1" a="1"/>
  <c r="O7" i="1" a="1"/>
  <c r="S11" i="1" a="1"/>
  <c r="AN33" i="1" a="1"/>
  <c r="N11" i="1" a="1"/>
  <c r="AJ33" i="1" a="1"/>
  <c r="Y11" i="1" a="1"/>
  <c r="AI47" i="1" a="1"/>
  <c r="L7" i="1" a="1"/>
  <c r="AR47" i="1" a="1"/>
  <c r="Z7" i="1" a="1"/>
  <c r="Y7" i="1" a="1"/>
  <c r="X11" i="1" a="1"/>
  <c r="AP33" i="1" a="1"/>
  <c r="AW47" i="1" a="1"/>
  <c r="AO33" i="1" a="1"/>
  <c r="AB7" i="1" a="1"/>
  <c r="Q7" i="1" a="1"/>
  <c r="M11" i="1" a="1"/>
  <c r="AI33" i="1" a="1"/>
  <c r="AM47" i="1" a="1"/>
  <c r="AH47" i="1" a="1"/>
  <c r="BA33" i="1" a="1"/>
  <c r="AT47" i="1" a="1"/>
  <c r="AR33" i="1" a="1"/>
  <c r="X7" i="1" a="1"/>
  <c r="AL33" i="1" a="1"/>
  <c r="AS33" i="1" a="1"/>
  <c r="O11" i="1" a="1"/>
  <c r="AK33" i="1" a="1"/>
  <c r="S7" i="1" a="1"/>
  <c r="AQ33" i="1" a="1"/>
  <c r="AX33" i="1" a="1"/>
  <c r="M7" i="1" a="1"/>
  <c r="AA7" i="1" a="1"/>
  <c r="T11" i="1" a="1"/>
  <c r="AY33" i="1" a="1"/>
  <c r="Q11" i="1" a="1"/>
  <c r="AS47" i="1" a="1"/>
  <c r="R7" i="1" a="1"/>
  <c r="K7" i="1" a="1"/>
  <c r="AT14" i="1" l="1"/>
  <c r="AH47" i="1"/>
  <c r="AO47" i="1"/>
  <c r="AJ47" i="1"/>
  <c r="AN47" i="1"/>
  <c r="AP47" i="1"/>
  <c r="AW47" i="1"/>
  <c r="AX47" i="1"/>
  <c r="AG47" i="1"/>
  <c r="BA49" i="1" s="1"/>
  <c r="AR47" i="1"/>
  <c r="AS47" i="1"/>
  <c r="AI47" i="1"/>
  <c r="AY47" i="1"/>
  <c r="AK47" i="1"/>
  <c r="AL47" i="1"/>
  <c r="AQ47" i="1"/>
  <c r="AT47" i="1"/>
  <c r="AT49" i="1" s="1"/>
  <c r="AM47" i="1"/>
  <c r="AU47" i="1"/>
  <c r="AV47" i="1"/>
  <c r="AU33" i="1"/>
  <c r="AJ33" i="1"/>
  <c r="AN33" i="1"/>
  <c r="AH33" i="1"/>
  <c r="AR33" i="1"/>
  <c r="AV33" i="1"/>
  <c r="AI33" i="1"/>
  <c r="AG33" i="1"/>
  <c r="BA35" i="1" s="1"/>
  <c r="AT33" i="1"/>
  <c r="AT35" i="1" s="1"/>
  <c r="AM33" i="1"/>
  <c r="AO33" i="1"/>
  <c r="AP33" i="1"/>
  <c r="AX33" i="1"/>
  <c r="AW33" i="1"/>
  <c r="AQ33" i="1"/>
  <c r="AY33" i="1"/>
  <c r="AK33" i="1"/>
  <c r="AS33" i="1"/>
  <c r="AL33" i="1"/>
  <c r="L11" i="1"/>
  <c r="L7" i="1"/>
  <c r="AO28" i="1"/>
  <c r="AO14" i="1"/>
  <c r="BC14" i="1"/>
  <c r="AO42" i="1"/>
  <c r="AJ28" i="1"/>
  <c r="T7" i="1"/>
  <c r="AB7" i="1"/>
  <c r="M7" i="1"/>
  <c r="U7" i="1"/>
  <c r="AC7" i="1"/>
  <c r="V7" i="1"/>
  <c r="N7" i="1"/>
  <c r="W7" i="1"/>
  <c r="K7" i="1"/>
  <c r="Y7" i="1"/>
  <c r="X7" i="1"/>
  <c r="O7" i="1"/>
  <c r="Z7" i="1"/>
  <c r="P7" i="1"/>
  <c r="AA7" i="1"/>
  <c r="Q7" i="1"/>
  <c r="R7" i="1"/>
  <c r="S7" i="1"/>
  <c r="P11" i="1"/>
  <c r="X11" i="1"/>
  <c r="Q11" i="1"/>
  <c r="Y11" i="1"/>
  <c r="R11" i="1"/>
  <c r="Z11" i="1"/>
  <c r="V11" i="1"/>
  <c r="AA11" i="1"/>
  <c r="N11" i="1"/>
  <c r="K11" i="1"/>
  <c r="W11" i="1"/>
  <c r="M11" i="1"/>
  <c r="AB11" i="1"/>
  <c r="U11" i="1"/>
  <c r="AC11" i="1"/>
  <c r="S11" i="1"/>
  <c r="O11" i="1"/>
  <c r="T11" i="1"/>
  <c r="AJ42" i="1"/>
  <c r="BC42" i="1"/>
  <c r="AJ14" i="1"/>
  <c r="BC28" i="1"/>
  <c r="I13" i="1"/>
  <c r="AU37" i="1"/>
  <c r="AU2" i="1"/>
  <c r="AT37" i="1"/>
  <c r="AT42" i="1" s="1"/>
  <c r="AT2" i="1"/>
  <c r="AT7" i="1" s="1"/>
  <c r="BA33" i="1"/>
  <c r="AY35" i="1" s="1"/>
  <c r="BA47" i="1"/>
  <c r="AY49" i="1" s="1"/>
  <c r="K13" i="1" a="1"/>
  <c r="S13" i="1" a="1"/>
  <c r="Z13" i="1" a="1"/>
  <c r="N13" i="1" a="1"/>
  <c r="AB13" i="1" a="1"/>
  <c r="P13" i="1" a="1"/>
  <c r="U13" i="1" a="1"/>
  <c r="X13" i="1" a="1"/>
  <c r="AA13" i="1" a="1"/>
  <c r="Y13" i="1" a="1"/>
  <c r="T13" i="1" a="1"/>
  <c r="M13" i="1" a="1"/>
  <c r="V13" i="1" a="1"/>
  <c r="W13" i="1" a="1"/>
  <c r="R13" i="1" a="1"/>
  <c r="L13" i="1" a="1"/>
  <c r="AC13" i="1" a="1"/>
  <c r="O13" i="1" a="1"/>
  <c r="Q13" i="1" a="1"/>
  <c r="L13" i="1" l="1"/>
  <c r="AO49" i="1"/>
  <c r="AJ35" i="1"/>
  <c r="BC35" i="1"/>
  <c r="BC49" i="1"/>
  <c r="AJ49" i="1"/>
  <c r="AO35" i="1"/>
  <c r="R13" i="1"/>
  <c r="Z13" i="1"/>
  <c r="S13" i="1"/>
  <c r="T13" i="1"/>
  <c r="K13" i="1"/>
  <c r="AA13" i="1"/>
  <c r="AB13" i="1"/>
  <c r="X13" i="1"/>
  <c r="N13" i="1"/>
  <c r="AC13" i="1"/>
  <c r="W13" i="1"/>
  <c r="M13" i="1"/>
  <c r="Y13" i="1"/>
  <c r="O13" i="1"/>
  <c r="Q13" i="1"/>
  <c r="U13" i="1"/>
  <c r="V13" i="1"/>
  <c r="P13" i="1"/>
  <c r="AV2" i="1"/>
  <c r="AV37" i="1"/>
  <c r="AW2" i="1"/>
  <c r="AW37" i="1"/>
  <c r="AY37" i="1" l="1"/>
  <c r="AY2" i="1"/>
  <c r="AX37" i="1"/>
  <c r="AX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<sst xmlns="http://schemas.openxmlformats.org/spreadsheetml/2006/main" count="137" uniqueCount="60">
  <si>
    <t>А=</t>
  </si>
  <si>
    <t>C=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</si>
  <si>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</si>
  <si>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</si>
  <si>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</si>
  <si>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</si>
  <si>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</si>
  <si>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</si>
  <si>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</si>
  <si>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</si>
  <si>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</si>
  <si>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</si>
  <si>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</si>
  <si>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</si>
  <si>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-X1=</t>
  </si>
  <si>
    <t>A=</t>
  </si>
  <si>
    <t>A+C=</t>
  </si>
  <si>
    <t>A+C+C=</t>
  </si>
  <si>
    <t>C-A=</t>
  </si>
  <si>
    <t>65536-X4=</t>
  </si>
  <si>
    <t>-X2=</t>
  </si>
  <si>
    <t>-X3=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</si>
  <si>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</si>
  <si>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</si>
  <si>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</si>
  <si>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</si>
  <si>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</si>
  <si>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</si>
  <si>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</si>
  <si>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</si>
  <si>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</si>
  <si>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</si>
  <si>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</si>
  <si>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</si>
  <si>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</si>
  <si>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</si>
  <si>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</si>
  <si>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B1</t>
  </si>
  <si>
    <t>B2</t>
  </si>
  <si>
    <t>+</t>
  </si>
  <si>
    <t>CF=</t>
  </si>
  <si>
    <t>PF=</t>
  </si>
  <si>
    <t>AF=</t>
  </si>
  <si>
    <t>ZF=</t>
  </si>
  <si>
    <t>B3</t>
  </si>
  <si>
    <t>B7</t>
  </si>
  <si>
    <t>B8</t>
  </si>
  <si>
    <t>B9</t>
  </si>
  <si>
    <t>B11</t>
  </si>
  <si>
    <t>=</t>
  </si>
  <si>
    <t>X1</t>
  </si>
  <si>
    <t>X2</t>
  </si>
  <si>
    <t>X3</t>
  </si>
  <si>
    <t>X7</t>
  </si>
  <si>
    <t>X8</t>
  </si>
  <si>
    <t>X9</t>
  </si>
  <si>
    <t>X11</t>
  </si>
  <si>
    <t>SF=</t>
  </si>
  <si>
    <t>OF=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</si>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</sst>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204"/>
      <scheme val="minor"/>
    </font>
    <font>
      <i/>
      <sz val="11"/>
      <color theme="1"/>
      <name val="Aptos Narrow"/>
      <family val="2"/>
      <scheme val="minor"/>
    </font>
    <font>
      <sz val="8"/>
      <color theme="1"/>
      <name val="Aptos Narrow"/>
      <family val="2"/>
      <charset val="204"/>
      <scheme val="minor"/>
    </font>
    <font>
      <sz val="11"/>
      <name val="Aptos Narrow"/>
      <family val="2"/>
      <scheme val="minor"/>
    </font>
    <font>
      <sz val="11"/>
      <name val="Aptos Narrow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0" xfId="0" quotePrefix="1"/>
    <xf numFmtId="0" fontId="0" fillId="0" borderId="3" xfId="0" applyBorder="1" applyAlignment="1">
      <alignment horizontal="center"/>
    </xf>
    <xf numFmtId="0" fontId="0" fillId="0" borderId="8" xfId="0" quotePrefix="1" applyBorder="1"/>
    <xf numFmtId="0" fontId="0" fillId="0" borderId="4" xfId="0" applyBorder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2" borderId="0" xfId="0" applyFill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8" xfId="0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2">
    <dxf>
      <font>
        <b/>
        <i val="0"/>
      </font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829E-04FE-46E5-8523-20F7D0341C67}">
  <sheetPr codeName="Лист1"/>
  <dimension ref="A1:BR49"/>
  <sheetViews>
    <sheetView tabSelected="1" zoomScale="88" zoomScaleNormal="205" workbookViewId="0">
      <selection activeCell="B3" sqref="B3"/>
    </sheetView>
  </sheetViews>
  <sheetFormatPr defaultRowHeight="14.25" x14ac:dyDescent="0.45"/>
  <cols>
    <col min="1" max="1" width="10.3984375" bestFit="1" customWidth="1"/>
    <col min="8" max="8" width="9.46484375" bestFit="1" customWidth="1"/>
    <col min="9" max="9" width="18.19921875" customWidth="1"/>
    <col min="10" max="10" width="9.06640625" customWidth="1"/>
    <col min="11" max="14" width="2.59765625" customWidth="1"/>
    <col min="15" max="15" width="1.59765625" customWidth="1"/>
    <col min="16" max="19" width="2.59765625" customWidth="1"/>
    <col min="20" max="20" width="1.59765625" customWidth="1"/>
    <col min="21" max="24" width="2.59765625" customWidth="1"/>
    <col min="25" max="25" width="1.59765625" customWidth="1"/>
    <col min="26" max="29" width="2.59765625" customWidth="1"/>
    <col min="31" max="31" width="18.3984375" customWidth="1"/>
    <col min="33" max="51" width="2.59765625" customWidth="1"/>
    <col min="53" max="53" width="6.59765625" customWidth="1"/>
  </cols>
  <sheetData>
    <row r="1" spans="1:70" ht="14.65" thickBot="1" x14ac:dyDescent="0.5">
      <c r="K1" s="19">
        <v>16</v>
      </c>
      <c r="L1" s="19">
        <v>15</v>
      </c>
      <c r="M1" s="19">
        <v>14</v>
      </c>
      <c r="N1" s="19">
        <v>13</v>
      </c>
      <c r="O1" s="19"/>
      <c r="P1" s="19">
        <v>12</v>
      </c>
      <c r="Q1" s="19">
        <v>11</v>
      </c>
      <c r="R1" s="19">
        <v>10</v>
      </c>
      <c r="S1" s="19">
        <v>9</v>
      </c>
      <c r="T1" s="19"/>
      <c r="U1" s="19">
        <v>8</v>
      </c>
      <c r="V1" s="19">
        <v>7</v>
      </c>
      <c r="W1" s="19">
        <v>6</v>
      </c>
      <c r="X1" s="19">
        <v>5</v>
      </c>
      <c r="Y1" s="19"/>
      <c r="Z1" s="19">
        <v>4</v>
      </c>
      <c r="AA1" s="19">
        <v>3</v>
      </c>
      <c r="AB1" s="19">
        <v>2</v>
      </c>
      <c r="AC1" s="19">
        <v>1</v>
      </c>
      <c r="AG1" s="19">
        <v>16</v>
      </c>
      <c r="AH1" s="19">
        <v>15</v>
      </c>
      <c r="AI1" s="19">
        <v>14</v>
      </c>
      <c r="AJ1" s="19">
        <v>13</v>
      </c>
      <c r="AK1" s="19"/>
      <c r="AL1" s="19">
        <v>12</v>
      </c>
      <c r="AM1" s="19">
        <v>11</v>
      </c>
      <c r="AN1" s="19">
        <v>10</v>
      </c>
      <c r="AO1" s="19">
        <v>9</v>
      </c>
      <c r="AP1" s="19"/>
      <c r="AQ1" s="19">
        <v>8</v>
      </c>
      <c r="AR1" s="19">
        <v>7</v>
      </c>
      <c r="AS1" s="19">
        <v>6</v>
      </c>
      <c r="AT1" s="19">
        <v>5</v>
      </c>
      <c r="AU1" s="19"/>
      <c r="AV1" s="19">
        <v>4</v>
      </c>
      <c r="AW1" s="19">
        <v>3</v>
      </c>
      <c r="AX1" s="19">
        <v>2</v>
      </c>
      <c r="AY1" s="19">
        <v>1</v>
      </c>
      <c r="BQ1" s="11"/>
      <c r="BR1" s="11"/>
    </row>
    <row r="2" spans="1:70" x14ac:dyDescent="0.45">
      <c r="A2" s="1" t="s">
        <v>0</v>
      </c>
      <c r="B2">
        <v>1482</v>
      </c>
      <c r="D2" s="1" t="s">
        <v>2</v>
      </c>
      <c r="E2" s="3" t="s">
        <v>15</v>
      </c>
      <c r="F2" s="4">
        <f>B2</f>
        <v>1482</v>
      </c>
      <c r="H2" s="20" t="s">
        <v>25</v>
      </c>
      <c r="I2" s="21" t="str" cm="1">
        <f t="array" ref="I2">tobin(F2)</f>
        <v>0000010111001010</v>
      </c>
      <c r="J2" s="21"/>
      <c r="K2" s="25" t="str" cm="1">
        <f t="array" ref="K2">getchar($I2,K1)</f>
        <v>0</v>
      </c>
      <c r="L2" s="25" t="str" cm="1">
        <f t="array" ref="L2">getchar($I2,L1)</f>
        <v>0</v>
      </c>
      <c r="M2" s="25" t="str" cm="1">
        <f t="array" ref="M2">getchar($I2,M1)</f>
        <v>0</v>
      </c>
      <c r="N2" s="25" t="str" cm="1">
        <f t="array" ref="N2">getchar($I2,N1)</f>
        <v>0</v>
      </c>
      <c r="O2" s="25" t="str" cm="1">
        <f t="array" ref="O2">getchar($I2,O1)</f>
        <v>.</v>
      </c>
      <c r="P2" s="25" t="str" cm="1">
        <f t="array" ref="P2">getchar($I2,12)</f>
        <v>0</v>
      </c>
      <c r="Q2" s="25" t="str" cm="1">
        <f t="array" ref="Q2">getchar($I2,Q1)</f>
        <v>1</v>
      </c>
      <c r="R2" s="25" t="str" cm="1">
        <f t="array" ref="R2">getchar($I2,R1)</f>
        <v>0</v>
      </c>
      <c r="S2" s="25" t="str" cm="1">
        <f t="array" ref="S2">getchar($I2,S1)</f>
        <v>1</v>
      </c>
      <c r="T2" s="25" t="str" cm="1">
        <f t="array" ref="T2">getchar($I2,T1)</f>
        <v>.</v>
      </c>
      <c r="U2" s="25" t="str" cm="1">
        <f t="array" ref="U2">getchar($I2,U1)</f>
        <v>1</v>
      </c>
      <c r="V2" s="25" t="str" cm="1">
        <f t="array" ref="V2">getchar($I2,V1)</f>
        <v>1</v>
      </c>
      <c r="W2" s="25" t="str" cm="1">
        <f t="array" ref="W2">getchar($I2,W1)</f>
        <v>0</v>
      </c>
      <c r="X2" s="25" t="str" cm="1">
        <f t="array" ref="X2">getchar($I2,X1)</f>
        <v>0</v>
      </c>
      <c r="Y2" s="25" t="str" cm="1">
        <f t="array" ref="Y2">getchar($I2,Y1)</f>
        <v>.</v>
      </c>
      <c r="Z2" s="25" t="str" cm="1">
        <f t="array" ref="Z2">getchar($I2,Z1)</f>
        <v>1</v>
      </c>
      <c r="AA2" s="25" t="str" cm="1">
        <f t="array" ref="AA2">getchar($I2,AA1)</f>
        <v>0</v>
      </c>
      <c r="AB2" s="25" t="str" cm="1">
        <f t="array" ref="AB2">getchar($I2,AB1)</f>
        <v>1</v>
      </c>
      <c r="AC2" s="26" t="str" cm="1">
        <f t="array" ref="AC2">getchar($I2,AC1)</f>
        <v>0</v>
      </c>
      <c r="AE2" t="s">
        <v>37</v>
      </c>
      <c r="AG2" t="str">
        <f t="shared" ref="AG2:AP3" si="0">K2</f>
        <v>0</v>
      </c>
      <c r="AH2" t="str">
        <f t="shared" si="0"/>
        <v>0</v>
      </c>
      <c r="AI2" t="str">
        <f t="shared" si="0"/>
        <v>0</v>
      </c>
      <c r="AJ2" t="str">
        <f t="shared" si="0"/>
        <v>0</v>
      </c>
      <c r="AK2" t="str">
        <f t="shared" si="0"/>
        <v>.</v>
      </c>
      <c r="AL2" t="str">
        <f t="shared" si="0"/>
        <v>0</v>
      </c>
      <c r="AM2" t="str">
        <f t="shared" si="0"/>
        <v>1</v>
      </c>
      <c r="AN2" t="str">
        <f t="shared" si="0"/>
        <v>0</v>
      </c>
      <c r="AO2" t="str">
        <f t="shared" si="0"/>
        <v>1</v>
      </c>
      <c r="AP2" t="str">
        <f t="shared" si="0"/>
        <v>.</v>
      </c>
      <c r="AQ2" t="str">
        <f t="shared" ref="AQ2:AY3" si="1">U2</f>
        <v>1</v>
      </c>
      <c r="AR2" t="str">
        <f t="shared" si="1"/>
        <v>1</v>
      </c>
      <c r="AS2" t="str">
        <f t="shared" si="1"/>
        <v>0</v>
      </c>
      <c r="AT2" t="str">
        <f t="shared" si="1"/>
        <v>0</v>
      </c>
      <c r="AU2" t="str">
        <f t="shared" si="1"/>
        <v>.</v>
      </c>
      <c r="AV2" t="str">
        <f t="shared" si="1"/>
        <v>1</v>
      </c>
      <c r="AW2" t="str">
        <f t="shared" si="1"/>
        <v>0</v>
      </c>
      <c r="AX2" t="str">
        <f t="shared" si="1"/>
        <v>1</v>
      </c>
      <c r="AY2" t="str">
        <f t="shared" si="1"/>
        <v>0</v>
      </c>
      <c r="BC2" t="s">
        <v>50</v>
      </c>
      <c r="BE2">
        <f>F2</f>
        <v>1482</v>
      </c>
      <c r="BF2" s="32" t="str" cm="1">
        <f t="array" ref="BF2">getComment(BE2,BE3)</f>
        <v>Результат корректный</v>
      </c>
      <c r="BG2" s="32"/>
      <c r="BH2" s="32"/>
      <c r="BI2" s="32"/>
      <c r="BJ2" s="32"/>
      <c r="BK2" s="32"/>
      <c r="BL2" s="32"/>
      <c r="BM2" s="32"/>
      <c r="BN2" s="32"/>
      <c r="BO2" s="18"/>
      <c r="BP2" s="18"/>
      <c r="BQ2" s="11"/>
      <c r="BR2" s="11"/>
    </row>
    <row r="3" spans="1:70" ht="14.65" thickBot="1" x14ac:dyDescent="0.5">
      <c r="A3" s="2" t="s">
        <v>1</v>
      </c>
      <c r="B3">
        <v>30584</v>
      </c>
      <c r="D3" s="5" t="s">
        <v>3</v>
      </c>
      <c r="E3" t="s">
        <v>1</v>
      </c>
      <c r="F3" s="6">
        <f>B3</f>
        <v>30584</v>
      </c>
      <c r="H3" s="22" t="s">
        <v>26</v>
      </c>
      <c r="I3" s="11" t="str" cm="1">
        <f t="array" ref="I3">tobin(F3)</f>
        <v>0111011101111000</v>
      </c>
      <c r="J3" s="11"/>
      <c r="K3" s="27" t="str" cm="1">
        <f t="array" ref="K3">getchar($I3,K1)</f>
        <v>0</v>
      </c>
      <c r="L3" s="27" t="str" cm="1">
        <f t="array" ref="L3">getchar($I3,L1)</f>
        <v>1</v>
      </c>
      <c r="M3" s="27" t="str" cm="1">
        <f t="array" ref="M3">getchar($I3,M1)</f>
        <v>1</v>
      </c>
      <c r="N3" s="27" t="str" cm="1">
        <f t="array" ref="N3">getchar($I3,N1)</f>
        <v>1</v>
      </c>
      <c r="O3" s="27" t="str" cm="1">
        <f t="array" ref="O3">getchar($I3,O1)</f>
        <v>.</v>
      </c>
      <c r="P3" s="27" t="str" cm="1">
        <f t="array" ref="P3">getchar($I3,P1)</f>
        <v>0</v>
      </c>
      <c r="Q3" s="27" t="str" cm="1">
        <f t="array" ref="Q3">getchar($I3,Q1)</f>
        <v>1</v>
      </c>
      <c r="R3" s="27" t="str" cm="1">
        <f t="array" ref="R3">getchar($I3,R1)</f>
        <v>1</v>
      </c>
      <c r="S3" s="27" t="str" cm="1">
        <f t="array" ref="S3">getchar($I3,S1)</f>
        <v>1</v>
      </c>
      <c r="T3" s="27" t="str" cm="1">
        <f t="array" ref="T3">getchar($I3,T1)</f>
        <v>.</v>
      </c>
      <c r="U3" s="27" t="str" cm="1">
        <f t="array" ref="U3">getchar($I3,U1)</f>
        <v>0</v>
      </c>
      <c r="V3" s="27" t="str" cm="1">
        <f t="array" ref="V3">getchar($I3,V1)</f>
        <v>1</v>
      </c>
      <c r="W3" s="27" t="str" cm="1">
        <f t="array" ref="W3">getchar($I3,W1)</f>
        <v>1</v>
      </c>
      <c r="X3" s="27" t="str" cm="1">
        <f t="array" ref="X3">getchar($I3,X1)</f>
        <v>1</v>
      </c>
      <c r="Y3" s="27" t="str" cm="1">
        <f t="array" ref="Y3">getchar($I3,Y1)</f>
        <v>.</v>
      </c>
      <c r="Z3" s="27" t="str" cm="1">
        <f t="array" ref="Z3">getchar($I3,Z1)</f>
        <v>1</v>
      </c>
      <c r="AA3" s="27" t="str" cm="1">
        <f t="array" ref="AA3">getchar($I3,AA1)</f>
        <v>0</v>
      </c>
      <c r="AB3" s="27" t="str" cm="1">
        <f t="array" ref="AB3">getchar($I3,AB1)</f>
        <v>0</v>
      </c>
      <c r="AC3" s="28" t="str" cm="1">
        <f t="array" ref="AC3">getchar($I3,AC1)</f>
        <v>0</v>
      </c>
      <c r="AD3" s="12" t="s">
        <v>39</v>
      </c>
      <c r="AE3" t="s">
        <v>38</v>
      </c>
      <c r="AG3" t="str">
        <f t="shared" si="0"/>
        <v>0</v>
      </c>
      <c r="AH3" t="str">
        <f t="shared" si="0"/>
        <v>1</v>
      </c>
      <c r="AI3" t="str">
        <f t="shared" si="0"/>
        <v>1</v>
      </c>
      <c r="AJ3" t="str">
        <f t="shared" si="0"/>
        <v>1</v>
      </c>
      <c r="AK3" t="str">
        <f t="shared" si="0"/>
        <v>.</v>
      </c>
      <c r="AL3" t="str">
        <f t="shared" si="0"/>
        <v>0</v>
      </c>
      <c r="AM3" t="str">
        <f t="shared" si="0"/>
        <v>1</v>
      </c>
      <c r="AN3" t="str">
        <f t="shared" si="0"/>
        <v>1</v>
      </c>
      <c r="AO3" t="str">
        <f t="shared" si="0"/>
        <v>1</v>
      </c>
      <c r="AP3" t="str">
        <f t="shared" si="0"/>
        <v>.</v>
      </c>
      <c r="AQ3" t="str">
        <f t="shared" si="1"/>
        <v>0</v>
      </c>
      <c r="AR3" t="str">
        <f t="shared" si="1"/>
        <v>1</v>
      </c>
      <c r="AS3" t="str">
        <f t="shared" si="1"/>
        <v>1</v>
      </c>
      <c r="AT3" t="str">
        <f t="shared" si="1"/>
        <v>1</v>
      </c>
      <c r="AU3" t="str">
        <f t="shared" si="1"/>
        <v>.</v>
      </c>
      <c r="AV3" t="str">
        <f t="shared" si="1"/>
        <v>1</v>
      </c>
      <c r="AW3" t="str">
        <f t="shared" si="1"/>
        <v>0</v>
      </c>
      <c r="AX3" t="str">
        <f t="shared" si="1"/>
        <v>0</v>
      </c>
      <c r="AY3" t="str">
        <f t="shared" si="1"/>
        <v>0</v>
      </c>
      <c r="BB3" s="16" t="s">
        <v>39</v>
      </c>
      <c r="BC3" t="s">
        <v>51</v>
      </c>
      <c r="BE3">
        <f>F3</f>
        <v>30584</v>
      </c>
      <c r="BF3" s="32"/>
      <c r="BG3" s="32"/>
      <c r="BH3" s="32"/>
      <c r="BI3" s="32"/>
      <c r="BJ3" s="32"/>
      <c r="BK3" s="32"/>
      <c r="BL3" s="32"/>
      <c r="BM3" s="32"/>
      <c r="BN3" s="32"/>
      <c r="BO3" s="18"/>
      <c r="BP3" s="18"/>
      <c r="BQ3" s="11"/>
      <c r="BR3" s="11"/>
    </row>
    <row r="4" spans="1:70" x14ac:dyDescent="0.45">
      <c r="D4" s="5" t="s">
        <v>4</v>
      </c>
      <c r="E4" t="s">
        <v>16</v>
      </c>
      <c r="F4" s="6">
        <f>F2+F3</f>
        <v>32066</v>
      </c>
      <c r="H4" s="22" t="s">
        <v>27</v>
      </c>
      <c r="I4" s="11" t="str" cm="1">
        <f t="array" ref="I4">tobin(F4)</f>
        <v>0111110101000010</v>
      </c>
      <c r="J4" s="11"/>
      <c r="K4" s="27" t="str" cm="1">
        <f t="array" ref="K4">getchar($I4,K1)</f>
        <v>0</v>
      </c>
      <c r="L4" s="27" t="str" cm="1">
        <f t="array" ref="L4">getchar($I4,L1)</f>
        <v>1</v>
      </c>
      <c r="M4" s="27" t="str" cm="1">
        <f t="array" ref="M4">getchar($I4,M1)</f>
        <v>1</v>
      </c>
      <c r="N4" s="27" t="str" cm="1">
        <f t="array" ref="N4">getchar($I4,N1)</f>
        <v>1</v>
      </c>
      <c r="O4" s="27" t="str" cm="1">
        <f t="array" ref="O4">getchar($I4,O1)</f>
        <v>.</v>
      </c>
      <c r="P4" s="27" t="str" cm="1">
        <f t="array" ref="P4">getchar($I4,P1)</f>
        <v>1</v>
      </c>
      <c r="Q4" s="27" t="str" cm="1">
        <f t="array" ref="Q4">getchar($I4,Q1)</f>
        <v>1</v>
      </c>
      <c r="R4" s="27" t="str" cm="1">
        <f t="array" ref="R4">getchar($I4,R1)</f>
        <v>0</v>
      </c>
      <c r="S4" s="27" t="str" cm="1">
        <f t="array" ref="S4">getchar($I4,S1)</f>
        <v>1</v>
      </c>
      <c r="T4" s="27" t="str" cm="1">
        <f t="array" ref="T4">getchar($I4,T1)</f>
        <v>.</v>
      </c>
      <c r="U4" s="27" t="str" cm="1">
        <f t="array" ref="U4">getchar($I4,U1)</f>
        <v>0</v>
      </c>
      <c r="V4" s="27" t="str" cm="1">
        <f t="array" ref="V4">getchar($I4,V1)</f>
        <v>1</v>
      </c>
      <c r="W4" s="27" t="str" cm="1">
        <f t="array" ref="W4">getchar($I4,W1)</f>
        <v>0</v>
      </c>
      <c r="X4" s="27" t="str" cm="1">
        <f t="array" ref="X4">getchar($I4,X1)</f>
        <v>0</v>
      </c>
      <c r="Y4" s="27" t="str" cm="1">
        <f t="array" ref="Y4">getchar($I4,Y1)</f>
        <v>.</v>
      </c>
      <c r="Z4" s="27" t="str" cm="1">
        <f t="array" ref="Z4">getchar($I4,Z1)</f>
        <v>0</v>
      </c>
      <c r="AA4" s="27" t="str" cm="1">
        <f t="array" ref="AA4">getchar($I4,AA1)</f>
        <v>0</v>
      </c>
      <c r="AB4" s="27" t="str" cm="1">
        <f t="array" ref="AB4">getchar($I4,AB1)</f>
        <v>1</v>
      </c>
      <c r="AC4" s="28" t="str" cm="1">
        <f t="array" ref="AC4">getchar($I4,AC1)</f>
        <v>0</v>
      </c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BB4" s="15" t="s">
        <v>49</v>
      </c>
      <c r="BC4" s="13"/>
      <c r="BD4" s="13"/>
      <c r="BE4" s="13"/>
      <c r="BF4" s="32"/>
      <c r="BG4" s="32"/>
      <c r="BH4" s="32"/>
      <c r="BI4" s="32"/>
      <c r="BJ4" s="32"/>
      <c r="BK4" s="32"/>
      <c r="BL4" s="32"/>
      <c r="BM4" s="32"/>
      <c r="BN4" s="32"/>
      <c r="BO4" s="18"/>
      <c r="BP4" s="18"/>
      <c r="BQ4" s="11"/>
      <c r="BR4" s="11"/>
    </row>
    <row r="5" spans="1:70" x14ac:dyDescent="0.45">
      <c r="D5" s="5" t="s">
        <v>5</v>
      </c>
      <c r="E5" t="s">
        <v>17</v>
      </c>
      <c r="F5" s="6">
        <f>F4+F3</f>
        <v>62650</v>
      </c>
      <c r="H5" s="22" t="s">
        <v>28</v>
      </c>
      <c r="I5" s="11" t="str" cm="1">
        <f t="array" ref="I5">tobin(F5)</f>
        <v>1111010010111010</v>
      </c>
      <c r="J5" s="11"/>
      <c r="K5" s="27" t="str" cm="1">
        <f t="array" ref="K5">getchar($I5,K1)</f>
        <v>1</v>
      </c>
      <c r="L5" s="27" t="str" cm="1">
        <f t="array" ref="L5">getchar($I5,L1)</f>
        <v>1</v>
      </c>
      <c r="M5" s="27" t="str" cm="1">
        <f t="array" ref="M5">getchar($I5,M1)</f>
        <v>1</v>
      </c>
      <c r="N5" s="27" t="str" cm="1">
        <f t="array" ref="N5">getchar($I5,N1)</f>
        <v>1</v>
      </c>
      <c r="O5" s="27" t="str" cm="1">
        <f t="array" ref="O5">getchar($I5,O1)</f>
        <v>.</v>
      </c>
      <c r="P5" s="27" t="str" cm="1">
        <f t="array" ref="P5">getchar($I5,P1)</f>
        <v>0</v>
      </c>
      <c r="Q5" s="27" t="str" cm="1">
        <f t="array" ref="Q5">getchar($I5,Q1)</f>
        <v>1</v>
      </c>
      <c r="R5" s="27" t="str" cm="1">
        <f t="array" ref="R5">getchar($I5,R1)</f>
        <v>0</v>
      </c>
      <c r="S5" s="27" t="str" cm="1">
        <f t="array" ref="S5">getchar($I5,S1)</f>
        <v>0</v>
      </c>
      <c r="T5" s="27" t="str" cm="1">
        <f t="array" ref="T5">getchar($I5,T1)</f>
        <v>.</v>
      </c>
      <c r="U5" s="27" t="str" cm="1">
        <f t="array" ref="U5">getchar($I5,U1)</f>
        <v>1</v>
      </c>
      <c r="V5" s="27" t="str" cm="1">
        <f t="array" ref="V5">getchar($I5,V1)</f>
        <v>0</v>
      </c>
      <c r="W5" s="27" t="str" cm="1">
        <f t="array" ref="W5">getchar($I5,W1)</f>
        <v>1</v>
      </c>
      <c r="X5" s="27" t="str" cm="1">
        <f t="array" ref="X5">getchar($I5,X1)</f>
        <v>1</v>
      </c>
      <c r="Y5" s="27" t="str" cm="1">
        <f t="array" ref="Y5">getchar($I5,Y1)</f>
        <v>.</v>
      </c>
      <c r="Z5" s="27" t="str" cm="1">
        <f t="array" ref="Z5">getchar($I5,Z1)</f>
        <v>1</v>
      </c>
      <c r="AA5" s="27" t="str" cm="1">
        <f t="array" ref="AA5">getchar($I5,AA1)</f>
        <v>0</v>
      </c>
      <c r="AB5" s="27" t="str" cm="1">
        <f t="array" ref="AB5">getchar($I5,AB1)</f>
        <v>1</v>
      </c>
      <c r="AC5" s="28" t="str" cm="1">
        <f t="array" ref="AC5">getchar($I5,AC1)</f>
        <v>0</v>
      </c>
      <c r="AE5" t="str" cm="1">
        <f t="array" ref="AE5">summ(I2,I3)</f>
        <v>0111110101000010</v>
      </c>
      <c r="AG5" t="str" cm="1">
        <f t="array" ref="AG5">getchar($AE5,AG1)</f>
        <v>0</v>
      </c>
      <c r="AH5" t="str" cm="1">
        <f t="array" ref="AH5">getchar($AE5,AH1)</f>
        <v>1</v>
      </c>
      <c r="AI5" t="str" cm="1">
        <f t="array" ref="AI5">getchar($AE5,AI1)</f>
        <v>1</v>
      </c>
      <c r="AJ5" t="str" cm="1">
        <f t="array" ref="AJ5">getchar($AE5,AJ1)</f>
        <v>1</v>
      </c>
      <c r="AK5" t="str" cm="1">
        <f t="array" ref="AK5">getchar($AE5,AK1)</f>
        <v>.</v>
      </c>
      <c r="AL5" t="str" cm="1">
        <f t="array" ref="AL5">getchar($AE5,AL1)</f>
        <v>1</v>
      </c>
      <c r="AM5" t="str" cm="1">
        <f t="array" ref="AM5">getchar($AE5,AM1)</f>
        <v>1</v>
      </c>
      <c r="AN5" t="str" cm="1">
        <f t="array" ref="AN5">getchar($AE5,AN1)</f>
        <v>0</v>
      </c>
      <c r="AO5" t="str" cm="1">
        <f t="array" ref="AO5">getchar($AE5,AO1)</f>
        <v>1</v>
      </c>
      <c r="AP5" t="str" cm="1">
        <f t="array" ref="AP5">getchar($AE5,AP1)</f>
        <v>.</v>
      </c>
      <c r="AQ5" t="str" cm="1">
        <f t="array" ref="AQ5">getchar($AE5,AQ1)</f>
        <v>0</v>
      </c>
      <c r="AR5" t="str" cm="1">
        <f t="array" ref="AR5">getchar($AE5,AR1)</f>
        <v>1</v>
      </c>
      <c r="AS5" t="str" cm="1">
        <f t="array" ref="AS5">getchar($AE5,AS1)</f>
        <v>0</v>
      </c>
      <c r="AT5" t="str" cm="1">
        <f t="array" ref="AT5">getchar($AE5,AT1)</f>
        <v>0</v>
      </c>
      <c r="AU5" t="str" cm="1">
        <f t="array" ref="AU5">getchar($AE5,AU1)</f>
        <v>.</v>
      </c>
      <c r="AV5" t="str" cm="1">
        <f t="array" ref="AV5">getchar($AE5,AV1)</f>
        <v>0</v>
      </c>
      <c r="AW5" t="str" cm="1">
        <f t="array" ref="AW5">getchar($AE5,AW1)</f>
        <v>0</v>
      </c>
      <c r="AX5" t="str" cm="1">
        <f t="array" ref="AX5">getchar($AE5,AX1)</f>
        <v>1</v>
      </c>
      <c r="AY5" t="str" cm="1">
        <f t="array" ref="AY5">getchar($AE5,AY1)</f>
        <v>0</v>
      </c>
      <c r="AZ5" s="17" t="s">
        <v>49</v>
      </c>
      <c r="BA5" cm="1">
        <f t="array" ref="BA5">todec(AE5)</f>
        <v>32066</v>
      </c>
      <c r="BE5">
        <f>BE2+BE3</f>
        <v>32066</v>
      </c>
      <c r="BF5" s="32"/>
      <c r="BG5" s="32"/>
      <c r="BH5" s="32"/>
      <c r="BI5" s="32"/>
      <c r="BJ5" s="32"/>
      <c r="BK5" s="32"/>
      <c r="BL5" s="32"/>
      <c r="BM5" s="32"/>
      <c r="BN5" s="32"/>
      <c r="BO5" s="18"/>
      <c r="BP5" s="18"/>
    </row>
    <row r="6" spans="1:70" x14ac:dyDescent="0.45">
      <c r="D6" s="5" t="s">
        <v>6</v>
      </c>
      <c r="E6" t="s">
        <v>18</v>
      </c>
      <c r="F6" s="6">
        <f>F3-F2</f>
        <v>29102</v>
      </c>
      <c r="H6" s="22" t="s">
        <v>29</v>
      </c>
      <c r="I6" s="11" t="str" cm="1">
        <f t="array" ref="I6">tobin(F6)</f>
        <v>0111000110101110</v>
      </c>
      <c r="J6" s="11"/>
      <c r="K6" s="27" t="str" cm="1">
        <f t="array" ref="K6">getchar($I6,K1)</f>
        <v>0</v>
      </c>
      <c r="L6" s="27" t="str" cm="1">
        <f t="array" ref="L6">getchar($I6,L1)</f>
        <v>1</v>
      </c>
      <c r="M6" s="27" t="str" cm="1">
        <f t="array" ref="M6">getchar($I6,M1)</f>
        <v>1</v>
      </c>
      <c r="N6" s="27" t="str" cm="1">
        <f t="array" ref="N6">getchar($I6,N1)</f>
        <v>1</v>
      </c>
      <c r="O6" s="27" t="str" cm="1">
        <f t="array" ref="O6">getchar($I6,O1)</f>
        <v>.</v>
      </c>
      <c r="P6" s="27" t="str" cm="1">
        <f t="array" ref="P6">getchar($I6,P1)</f>
        <v>0</v>
      </c>
      <c r="Q6" s="27" t="str" cm="1">
        <f t="array" ref="Q6">getchar($I6,Q1)</f>
        <v>0</v>
      </c>
      <c r="R6" s="27" t="str" cm="1">
        <f t="array" ref="R6">getchar($I6,R1)</f>
        <v>0</v>
      </c>
      <c r="S6" s="27" t="str" cm="1">
        <f t="array" ref="S6">getchar($I6,S1)</f>
        <v>1</v>
      </c>
      <c r="T6" s="27" t="str" cm="1">
        <f t="array" ref="T6">getchar($I6,T1)</f>
        <v>.</v>
      </c>
      <c r="U6" s="27" t="str" cm="1">
        <f t="array" ref="U6">getchar($I6,U1)</f>
        <v>1</v>
      </c>
      <c r="V6" s="27" t="str" cm="1">
        <f t="array" ref="V6">getchar($I6,V1)</f>
        <v>0</v>
      </c>
      <c r="W6" s="27" t="str" cm="1">
        <f t="array" ref="W6">getchar($I6,W1)</f>
        <v>1</v>
      </c>
      <c r="X6" s="27" t="str" cm="1">
        <f t="array" ref="X6">getchar($I6,X1)</f>
        <v>0</v>
      </c>
      <c r="Y6" s="27" t="str" cm="1">
        <f t="array" ref="Y6">getchar($I6,Y1)</f>
        <v>.</v>
      </c>
      <c r="Z6" s="27" t="str" cm="1">
        <f t="array" ref="Z6">getchar($I6,Z1)</f>
        <v>1</v>
      </c>
      <c r="AA6" s="27" t="str" cm="1">
        <f t="array" ref="AA6">getchar($I6,AA1)</f>
        <v>1</v>
      </c>
      <c r="AB6" s="27" t="str" cm="1">
        <f t="array" ref="AB6">getchar($I6,AB1)</f>
        <v>1</v>
      </c>
      <c r="AC6" s="27" t="str" cm="1">
        <f t="array" ref="AC6">getchar($I6,AC1)</f>
        <v>0</v>
      </c>
      <c r="AF6" s="14"/>
    </row>
    <row r="7" spans="1:70" x14ac:dyDescent="0.45">
      <c r="D7" s="5" t="s">
        <v>7</v>
      </c>
      <c r="E7" t="s">
        <v>19</v>
      </c>
      <c r="F7" s="6">
        <f>65536-F5</f>
        <v>2886</v>
      </c>
      <c r="H7" s="22" t="s">
        <v>30</v>
      </c>
      <c r="I7" s="11" t="str" cm="1">
        <f t="array" ref="I7">tobin(F7)</f>
        <v>0000101101000110</v>
      </c>
      <c r="J7" s="11"/>
      <c r="K7" s="27" t="str" cm="1">
        <f t="array" ref="K7">getchar($I7,K1)</f>
        <v>0</v>
      </c>
      <c r="L7" s="27" t="str" cm="1">
        <f t="array" ref="L7">getchar($I7,L1)</f>
        <v>0</v>
      </c>
      <c r="M7" s="27" t="str" cm="1">
        <f t="array" ref="M7">getchar($I7,M1)</f>
        <v>0</v>
      </c>
      <c r="N7" s="27" t="str" cm="1">
        <f t="array" ref="N7">getchar($I7,N1)</f>
        <v>0</v>
      </c>
      <c r="O7" s="27" t="str" cm="1">
        <f t="array" ref="O7">getchar($I7,O1)</f>
        <v>.</v>
      </c>
      <c r="P7" s="27" t="str" cm="1">
        <f t="array" ref="P7">getchar($I7,P1)</f>
        <v>1</v>
      </c>
      <c r="Q7" s="27" t="str" cm="1">
        <f t="array" ref="Q7">getchar($I7,Q1)</f>
        <v>0</v>
      </c>
      <c r="R7" s="27" t="str" cm="1">
        <f t="array" ref="R7">getchar($I7,R1)</f>
        <v>1</v>
      </c>
      <c r="S7" s="27" t="str" cm="1">
        <f t="array" ref="S7">getchar($I7,S1)</f>
        <v>1</v>
      </c>
      <c r="T7" s="27" t="str" cm="1">
        <f t="array" ref="T7">getchar($I7,T1)</f>
        <v>.</v>
      </c>
      <c r="U7" s="27" t="str" cm="1">
        <f t="array" ref="U7">getchar($I7,U1)</f>
        <v>0</v>
      </c>
      <c r="V7" s="27" t="str" cm="1">
        <f t="array" ref="V7">getchar($I7,V1)</f>
        <v>1</v>
      </c>
      <c r="W7" s="27" t="str" cm="1">
        <f t="array" ref="W7">getchar($I7,W1)</f>
        <v>0</v>
      </c>
      <c r="X7" s="27" t="str" cm="1">
        <f t="array" ref="X7">getchar($I7,X1)</f>
        <v>0</v>
      </c>
      <c r="Y7" s="27" t="str" cm="1">
        <f t="array" ref="Y7">getchar($I7,Y1)</f>
        <v>.</v>
      </c>
      <c r="Z7" s="27" t="str" cm="1">
        <f t="array" ref="Z7">getchar($I7,Z1)</f>
        <v>0</v>
      </c>
      <c r="AA7" s="27" t="str" cm="1">
        <f t="array" ref="AA7">getchar($I7,AA1)</f>
        <v>1</v>
      </c>
      <c r="AB7" s="27" t="str" cm="1">
        <f t="array" ref="AB7">getchar($I7,AB1)</f>
        <v>1</v>
      </c>
      <c r="AC7" s="28" t="str" cm="1">
        <f t="array" ref="AC7">getchar($I7,AC1)</f>
        <v>0</v>
      </c>
      <c r="AG7" s="15" t="s">
        <v>40</v>
      </c>
      <c r="AH7" s="15"/>
      <c r="AI7" s="15"/>
      <c r="AJ7">
        <f>IF(OR(AND(AG2 = 1, AG3 = 0, AG5 = 0), AND(AG2 = 1, AG3 = 1), AND(AG2 = 0, AG3 = 1, AG5 = 0)),1,0)</f>
        <v>0</v>
      </c>
      <c r="AL7" s="15" t="s">
        <v>41</v>
      </c>
      <c r="AM7" s="15"/>
      <c r="AN7" s="15"/>
      <c r="AO7">
        <f>IF(MOD(AQ5+AR5+AS5+AT5+AV5+AW5+AX5+AY5, 2) = 0, 1,0)</f>
        <v>1</v>
      </c>
      <c r="AQ7" s="15" t="s">
        <v>42</v>
      </c>
      <c r="AR7" s="15"/>
      <c r="AS7" s="15"/>
      <c r="AT7">
        <f>IF(OR(AND(AT2 = 0, AT3 = 1, AT5 = 0), AND(AT2 = 1, AT3 = 0, AT5 = 0), AND(AT2 = 0, AT3 = 0, AT5 = 1), AND(AT2 = 1, AT3 = 1, AT5 = 1)),1,0)</f>
        <v>0</v>
      </c>
      <c r="AV7" s="15" t="s">
        <v>43</v>
      </c>
      <c r="AW7" s="15"/>
      <c r="AX7" s="15"/>
      <c r="AY7">
        <f>IF(BA5=0, 1,0)</f>
        <v>0</v>
      </c>
      <c r="AZ7" s="15" t="s">
        <v>57</v>
      </c>
      <c r="BA7" t="str">
        <f>AG5</f>
        <v>0</v>
      </c>
      <c r="BB7" s="15" t="s">
        <v>58</v>
      </c>
      <c r="BC7">
        <f>IF(OR(AND(AG2 = 0, AG3 = 0, AG5 = 1), AND(AG2 = 1, AG3 = 1, AG5 = 0)),1,0)</f>
        <v>0</v>
      </c>
    </row>
    <row r="8" spans="1:70" x14ac:dyDescent="0.45">
      <c r="D8" s="5" t="s">
        <v>8</v>
      </c>
      <c r="E8" s="7" t="s">
        <v>14</v>
      </c>
      <c r="F8" s="6">
        <f t="shared" ref="F8:F12" si="2">-F2</f>
        <v>-1482</v>
      </c>
      <c r="H8" s="22" t="s">
        <v>31</v>
      </c>
      <c r="I8" s="11" t="str" cm="1">
        <f t="array" ref="I8">tobin(F8)</f>
        <v>1111101000110110</v>
      </c>
      <c r="J8" s="11"/>
      <c r="K8" s="27" t="str" cm="1">
        <f t="array" ref="K8">getchar($I8,K1)</f>
        <v>1</v>
      </c>
      <c r="L8" s="27" t="str" cm="1">
        <f t="array" ref="L8">getchar($I8,L1)</f>
        <v>1</v>
      </c>
      <c r="M8" s="27" t="str" cm="1">
        <f t="array" ref="M8">getchar($I8,M1)</f>
        <v>1</v>
      </c>
      <c r="N8" s="27" t="str" cm="1">
        <f t="array" ref="N8">getchar($I8,N1)</f>
        <v>1</v>
      </c>
      <c r="O8" s="27" t="str" cm="1">
        <f t="array" ref="O8">getchar($I8,O1)</f>
        <v>.</v>
      </c>
      <c r="P8" s="27" t="str" cm="1">
        <f t="array" ref="P8">getchar($I8,P1)</f>
        <v>1</v>
      </c>
      <c r="Q8" s="27" t="str" cm="1">
        <f t="array" ref="Q8">getchar($I8,Q1)</f>
        <v>0</v>
      </c>
      <c r="R8" s="27" t="str" cm="1">
        <f t="array" ref="R8">getchar($I8,R1)</f>
        <v>1</v>
      </c>
      <c r="S8" s="27" t="str" cm="1">
        <f t="array" ref="S8">getchar($I8,S1)</f>
        <v>0</v>
      </c>
      <c r="T8" s="27" t="str" cm="1">
        <f t="array" ref="T8">getchar($I8,T1)</f>
        <v>.</v>
      </c>
      <c r="U8" s="27" t="str" cm="1">
        <f t="array" ref="U8">getchar($I8,U1)</f>
        <v>0</v>
      </c>
      <c r="V8" s="27" t="str" cm="1">
        <f t="array" ref="V8">getchar($I8,V1)</f>
        <v>0</v>
      </c>
      <c r="W8" s="27" t="str" cm="1">
        <f t="array" ref="W8">getchar($I8,W1)</f>
        <v>1</v>
      </c>
      <c r="X8" s="27" t="str" cm="1">
        <f t="array" ref="X8">getchar($I8,X1)</f>
        <v>1</v>
      </c>
      <c r="Y8" s="27" t="str" cm="1">
        <f t="array" ref="Y8">getchar($I8,Y1)</f>
        <v>.</v>
      </c>
      <c r="Z8" s="27" t="str" cm="1">
        <f t="array" ref="Z8">getchar($I8,Z1)</f>
        <v>0</v>
      </c>
      <c r="AA8" s="27" t="str" cm="1">
        <f t="array" ref="AA8">getchar($I8,AA1)</f>
        <v>1</v>
      </c>
      <c r="AB8" s="27" t="str" cm="1">
        <f t="array" ref="AB8">getchar($I8,AB1)</f>
        <v>1</v>
      </c>
      <c r="AC8" s="28" t="str" cm="1">
        <f t="array" ref="AC8">getchar($I8,AC1)</f>
        <v>0</v>
      </c>
    </row>
    <row r="9" spans="1:70" x14ac:dyDescent="0.45">
      <c r="D9" s="5" t="s">
        <v>9</v>
      </c>
      <c r="E9" s="7" t="s">
        <v>20</v>
      </c>
      <c r="F9" s="6">
        <f t="shared" si="2"/>
        <v>-30584</v>
      </c>
      <c r="H9" s="22" t="s">
        <v>32</v>
      </c>
      <c r="I9" s="11" t="str" cm="1">
        <f t="array" ref="I9">tobin(F9)</f>
        <v>1000100010001000</v>
      </c>
      <c r="J9" s="11"/>
      <c r="K9" s="27" t="str" cm="1">
        <f t="array" ref="K9">getchar($I9,K1)</f>
        <v>1</v>
      </c>
      <c r="L9" s="27" t="str" cm="1">
        <f t="array" ref="L9">getchar($I9,L1)</f>
        <v>0</v>
      </c>
      <c r="M9" s="27" t="str" cm="1">
        <f t="array" ref="M9">getchar($I9,M1)</f>
        <v>0</v>
      </c>
      <c r="N9" s="27" t="str" cm="1">
        <f t="array" ref="N9">getchar($I9,N1)</f>
        <v>0</v>
      </c>
      <c r="O9" s="27" t="str" cm="1">
        <f t="array" ref="O9">getchar($I9,O1)</f>
        <v>.</v>
      </c>
      <c r="P9" s="27" t="str" cm="1">
        <f t="array" ref="P9">getchar($I9,P1)</f>
        <v>1</v>
      </c>
      <c r="Q9" s="27" t="str" cm="1">
        <f t="array" ref="Q9">getchar($I9,Q1)</f>
        <v>0</v>
      </c>
      <c r="R9" s="27" t="str" cm="1">
        <f t="array" ref="R9">getchar($I9,R1)</f>
        <v>0</v>
      </c>
      <c r="S9" s="27" t="str" cm="1">
        <f t="array" ref="S9">getchar($I9,S1)</f>
        <v>0</v>
      </c>
      <c r="T9" s="27" t="str" cm="1">
        <f t="array" ref="T9">getchar($I9,T1)</f>
        <v>.</v>
      </c>
      <c r="U9" s="27" t="str" cm="1">
        <f t="array" ref="U9">getchar($I9,U1)</f>
        <v>1</v>
      </c>
      <c r="V9" s="27" t="str" cm="1">
        <f t="array" ref="V9">getchar($I9,V1)</f>
        <v>0</v>
      </c>
      <c r="W9" s="27" t="str" cm="1">
        <f t="array" ref="W9">getchar($I9,W1)</f>
        <v>0</v>
      </c>
      <c r="X9" s="27" t="str" cm="1">
        <f t="array" ref="X9">getchar($I9,X1)</f>
        <v>0</v>
      </c>
      <c r="Y9" s="27" t="str" cm="1">
        <f t="array" ref="Y9">getchar($I9,Y1)</f>
        <v>.</v>
      </c>
      <c r="Z9" s="27" t="str" cm="1">
        <f t="array" ref="Z9">getchar($I9,Z1)</f>
        <v>1</v>
      </c>
      <c r="AA9" s="27" t="str" cm="1">
        <f t="array" ref="AA9">getchar($I9,AA1)</f>
        <v>0</v>
      </c>
      <c r="AB9" s="27" t="str" cm="1">
        <f t="array" ref="AB9">getchar($I9,AB1)</f>
        <v>0</v>
      </c>
      <c r="AC9" s="28" t="str" cm="1">
        <f t="array" ref="AC9">getchar($I9,AC1)</f>
        <v>0</v>
      </c>
      <c r="AE9" t="s">
        <v>38</v>
      </c>
      <c r="AG9" t="str">
        <f t="shared" ref="AG9:AP10" si="3">K3</f>
        <v>0</v>
      </c>
      <c r="AH9" t="str">
        <f t="shared" si="3"/>
        <v>1</v>
      </c>
      <c r="AI9" t="str">
        <f t="shared" si="3"/>
        <v>1</v>
      </c>
      <c r="AJ9" t="str">
        <f t="shared" si="3"/>
        <v>1</v>
      </c>
      <c r="AK9" t="str">
        <f t="shared" si="3"/>
        <v>.</v>
      </c>
      <c r="AL9" t="str">
        <f t="shared" si="3"/>
        <v>0</v>
      </c>
      <c r="AM9" t="str">
        <f t="shared" si="3"/>
        <v>1</v>
      </c>
      <c r="AN9" t="str">
        <f t="shared" si="3"/>
        <v>1</v>
      </c>
      <c r="AO9" t="str">
        <f t="shared" si="3"/>
        <v>1</v>
      </c>
      <c r="AP9" t="str">
        <f t="shared" si="3"/>
        <v>.</v>
      </c>
      <c r="AQ9" t="str">
        <f t="shared" ref="AQ9:AY10" si="4">U3</f>
        <v>0</v>
      </c>
      <c r="AR9" t="str">
        <f t="shared" si="4"/>
        <v>1</v>
      </c>
      <c r="AS9" t="str">
        <f t="shared" si="4"/>
        <v>1</v>
      </c>
      <c r="AT9" t="str">
        <f t="shared" si="4"/>
        <v>1</v>
      </c>
      <c r="AU9" t="str">
        <f t="shared" si="4"/>
        <v>.</v>
      </c>
      <c r="AV9" t="str">
        <f t="shared" si="4"/>
        <v>1</v>
      </c>
      <c r="AW9" t="str">
        <f t="shared" si="4"/>
        <v>0</v>
      </c>
      <c r="AX9" t="str">
        <f t="shared" si="4"/>
        <v>0</v>
      </c>
      <c r="AY9" t="str">
        <f t="shared" si="4"/>
        <v>0</v>
      </c>
      <c r="BC9" t="s">
        <v>51</v>
      </c>
      <c r="BE9">
        <f>F3</f>
        <v>30584</v>
      </c>
      <c r="BF9" s="32" t="str" cm="1">
        <f t="array" ref="BF9">getComment(BE9,BE10)</f>
        <v>При сложении положительных чисел получен отрицательный результат - ПЕРЕПОЛНЕНИЕ!</v>
      </c>
      <c r="BG9" s="32"/>
      <c r="BH9" s="32"/>
      <c r="BI9" s="32"/>
      <c r="BJ9" s="32"/>
      <c r="BK9" s="32"/>
      <c r="BL9" s="32"/>
      <c r="BM9" s="32"/>
      <c r="BN9" s="32"/>
      <c r="BO9" s="18"/>
      <c r="BP9" s="18"/>
    </row>
    <row r="10" spans="1:70" x14ac:dyDescent="0.45">
      <c r="D10" s="5" t="s">
        <v>10</v>
      </c>
      <c r="E10" s="7" t="s">
        <v>21</v>
      </c>
      <c r="F10" s="6">
        <f t="shared" si="2"/>
        <v>-32066</v>
      </c>
      <c r="H10" s="22" t="s">
        <v>33</v>
      </c>
      <c r="I10" s="11" t="str" cm="1">
        <f t="array" ref="I10">tobin(F10)</f>
        <v>1000001010111110</v>
      </c>
      <c r="J10" s="11"/>
      <c r="K10" s="27" t="str" cm="1">
        <f t="array" ref="K10">getchar($I10,K1)</f>
        <v>1</v>
      </c>
      <c r="L10" s="27" t="str" cm="1">
        <f t="array" ref="L10">getchar($I10,L1)</f>
        <v>0</v>
      </c>
      <c r="M10" s="27" t="str" cm="1">
        <f t="array" ref="M10">getchar($I10,M1)</f>
        <v>0</v>
      </c>
      <c r="N10" s="27" t="str" cm="1">
        <f t="array" ref="N10">getchar($I10,N1)</f>
        <v>0</v>
      </c>
      <c r="O10" s="27" t="str" cm="1">
        <f t="array" ref="O10">getchar($I10,O1)</f>
        <v>.</v>
      </c>
      <c r="P10" s="27" t="str" cm="1">
        <f t="array" ref="P10">getchar($I10,P1)</f>
        <v>0</v>
      </c>
      <c r="Q10" s="27" t="str" cm="1">
        <f t="array" ref="Q10">getchar($I10,Q1)</f>
        <v>0</v>
      </c>
      <c r="R10" s="27" t="str" cm="1">
        <f t="array" ref="R10">getchar($I10,R1)</f>
        <v>1</v>
      </c>
      <c r="S10" s="27" t="str" cm="1">
        <f t="array" ref="S10">getchar($I10,S1)</f>
        <v>0</v>
      </c>
      <c r="T10" s="27" t="str" cm="1">
        <f t="array" ref="T10">getchar($I10,T1)</f>
        <v>.</v>
      </c>
      <c r="U10" s="27" t="str" cm="1">
        <f t="array" ref="U10">getchar($I10,U1)</f>
        <v>1</v>
      </c>
      <c r="V10" s="27" t="str" cm="1">
        <f t="array" ref="V10">getchar($I10,V1)</f>
        <v>0</v>
      </c>
      <c r="W10" s="27" t="str" cm="1">
        <f t="array" ref="W10">getchar($I10,W1)</f>
        <v>1</v>
      </c>
      <c r="X10" s="27" t="str" cm="1">
        <f t="array" ref="X10">getchar($I10,X1)</f>
        <v>1</v>
      </c>
      <c r="Y10" s="27" t="str" cm="1">
        <f t="array" ref="Y10">getchar($I10,Y1)</f>
        <v>.</v>
      </c>
      <c r="Z10" s="27" t="str" cm="1">
        <f t="array" ref="Z10">getchar($I10,Z1)</f>
        <v>1</v>
      </c>
      <c r="AA10" s="27" t="str" cm="1">
        <f t="array" ref="AA10">getchar($I10,AA1)</f>
        <v>1</v>
      </c>
      <c r="AB10" s="27" t="str" cm="1">
        <f t="array" ref="AB10">getchar($I10,AB1)</f>
        <v>1</v>
      </c>
      <c r="AC10" s="28" t="str" cm="1">
        <f t="array" ref="AC10">getchar($I10,AC1)</f>
        <v>0</v>
      </c>
      <c r="AD10" s="12" t="s">
        <v>39</v>
      </c>
      <c r="AE10" t="s">
        <v>44</v>
      </c>
      <c r="AG10" t="str">
        <f t="shared" si="3"/>
        <v>0</v>
      </c>
      <c r="AH10" t="str">
        <f t="shared" si="3"/>
        <v>1</v>
      </c>
      <c r="AI10" t="str">
        <f t="shared" si="3"/>
        <v>1</v>
      </c>
      <c r="AJ10" t="str">
        <f t="shared" si="3"/>
        <v>1</v>
      </c>
      <c r="AK10" t="str">
        <f t="shared" si="3"/>
        <v>.</v>
      </c>
      <c r="AL10" t="str">
        <f t="shared" si="3"/>
        <v>1</v>
      </c>
      <c r="AM10" t="str">
        <f t="shared" si="3"/>
        <v>1</v>
      </c>
      <c r="AN10" t="str">
        <f t="shared" si="3"/>
        <v>0</v>
      </c>
      <c r="AO10" t="str">
        <f t="shared" si="3"/>
        <v>1</v>
      </c>
      <c r="AP10" t="str">
        <f t="shared" si="3"/>
        <v>.</v>
      </c>
      <c r="AQ10" t="str">
        <f t="shared" si="4"/>
        <v>0</v>
      </c>
      <c r="AR10" t="str">
        <f t="shared" si="4"/>
        <v>1</v>
      </c>
      <c r="AS10" t="str">
        <f t="shared" si="4"/>
        <v>0</v>
      </c>
      <c r="AT10" t="str">
        <f t="shared" si="4"/>
        <v>0</v>
      </c>
      <c r="AU10" t="str">
        <f t="shared" si="4"/>
        <v>.</v>
      </c>
      <c r="AV10" t="str">
        <f t="shared" si="4"/>
        <v>0</v>
      </c>
      <c r="AW10" t="str">
        <f t="shared" si="4"/>
        <v>0</v>
      </c>
      <c r="AX10" t="str">
        <f t="shared" si="4"/>
        <v>1</v>
      </c>
      <c r="AY10" t="str">
        <f t="shared" si="4"/>
        <v>0</v>
      </c>
      <c r="BB10" s="16" t="s">
        <v>39</v>
      </c>
      <c r="BC10" t="s">
        <v>52</v>
      </c>
      <c r="BE10">
        <f>F4</f>
        <v>32066</v>
      </c>
      <c r="BF10" s="32"/>
      <c r="BG10" s="32"/>
      <c r="BH10" s="32"/>
      <c r="BI10" s="32"/>
      <c r="BJ10" s="32"/>
      <c r="BK10" s="32"/>
      <c r="BL10" s="32"/>
      <c r="BM10" s="32"/>
      <c r="BN10" s="32"/>
      <c r="BO10" s="18"/>
      <c r="BP10" s="18"/>
    </row>
    <row r="11" spans="1:70" x14ac:dyDescent="0.45">
      <c r="D11" s="5" t="s">
        <v>11</v>
      </c>
      <c r="E11" s="7" t="s">
        <v>22</v>
      </c>
      <c r="F11" s="6">
        <f t="shared" si="2"/>
        <v>-62650</v>
      </c>
      <c r="H11" s="22" t="s">
        <v>34</v>
      </c>
      <c r="I11" s="11" t="str" cm="1">
        <f t="array" ref="I11">tobin(F11)</f>
        <v>0000101101000110</v>
      </c>
      <c r="J11" s="11"/>
      <c r="K11" s="27" t="str" cm="1">
        <f t="array" ref="K11">getchar($I11,K1)</f>
        <v>0</v>
      </c>
      <c r="L11" s="27" t="str" cm="1">
        <f t="array" ref="L11">getchar($I11,L1)</f>
        <v>0</v>
      </c>
      <c r="M11" s="27" t="str" cm="1">
        <f t="array" ref="M11">getchar($I11,M1)</f>
        <v>0</v>
      </c>
      <c r="N11" s="27" t="str" cm="1">
        <f t="array" ref="N11">getchar($I11,N1)</f>
        <v>0</v>
      </c>
      <c r="O11" s="27" t="str" cm="1">
        <f t="array" ref="O11">getchar($I11,O1)</f>
        <v>.</v>
      </c>
      <c r="P11" s="27" t="str" cm="1">
        <f t="array" ref="P11">getchar($I11,P1)</f>
        <v>1</v>
      </c>
      <c r="Q11" s="27" t="str" cm="1">
        <f t="array" ref="Q11">getchar($I11,Q1)</f>
        <v>0</v>
      </c>
      <c r="R11" s="27" t="str" cm="1">
        <f t="array" ref="R11">getchar($I11,R1)</f>
        <v>1</v>
      </c>
      <c r="S11" s="27" t="str" cm="1">
        <f t="array" ref="S11">getchar($I11,S1)</f>
        <v>1</v>
      </c>
      <c r="T11" s="27" t="str" cm="1">
        <f t="array" ref="T11">getchar($I11,T1)</f>
        <v>.</v>
      </c>
      <c r="U11" s="27" t="str" cm="1">
        <f t="array" ref="U11">getchar($I11,U1)</f>
        <v>0</v>
      </c>
      <c r="V11" s="27" t="str" cm="1">
        <f t="array" ref="V11">getchar($I11,V1)</f>
        <v>1</v>
      </c>
      <c r="W11" s="27" t="str" cm="1">
        <f t="array" ref="W11">getchar($I11,W1)</f>
        <v>0</v>
      </c>
      <c r="X11" s="27" t="str" cm="1">
        <f t="array" ref="X11">getchar($I11,X1)</f>
        <v>0</v>
      </c>
      <c r="Y11" s="27" t="str" cm="1">
        <f t="array" ref="Y11">getchar($I11,Y1)</f>
        <v>.</v>
      </c>
      <c r="Z11" s="27" t="str" cm="1">
        <f t="array" ref="Z11">getchar($I11,Z1)</f>
        <v>0</v>
      </c>
      <c r="AA11" s="27" t="str" cm="1">
        <f t="array" ref="AA11">getchar($I11,AA1)</f>
        <v>1</v>
      </c>
      <c r="AB11" s="27" t="str" cm="1">
        <f t="array" ref="AB11">getchar($I11,AB1)</f>
        <v>1</v>
      </c>
      <c r="AC11" s="28" t="str" cm="1">
        <f t="array" ref="AC11">getchar($I11,AC1)</f>
        <v>0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BB11" s="17" t="s">
        <v>49</v>
      </c>
      <c r="BC11" s="13"/>
      <c r="BD11" s="13"/>
      <c r="BE11" s="13"/>
      <c r="BF11" s="32"/>
      <c r="BG11" s="32"/>
      <c r="BH11" s="32"/>
      <c r="BI11" s="32"/>
      <c r="BJ11" s="32"/>
      <c r="BK11" s="32"/>
      <c r="BL11" s="32"/>
      <c r="BM11" s="32"/>
      <c r="BN11" s="32"/>
      <c r="BO11" s="18"/>
      <c r="BP11" s="18"/>
    </row>
    <row r="12" spans="1:70" x14ac:dyDescent="0.45">
      <c r="D12" s="5" t="s">
        <v>12</v>
      </c>
      <c r="E12" s="7" t="s">
        <v>23</v>
      </c>
      <c r="F12" s="6">
        <f t="shared" si="2"/>
        <v>-29102</v>
      </c>
      <c r="H12" s="22" t="s">
        <v>35</v>
      </c>
      <c r="I12" s="11" t="str" cm="1">
        <f t="array" ref="I12">tobin(F12)</f>
        <v>1000111001010010</v>
      </c>
      <c r="J12" s="11"/>
      <c r="K12" s="27" t="str" cm="1">
        <f t="array" ref="K12">getchar($I12,K1)</f>
        <v>1</v>
      </c>
      <c r="L12" s="27" t="str" cm="1">
        <f t="array" ref="L12">getchar($I12,L1)</f>
        <v>0</v>
      </c>
      <c r="M12" s="27" t="str" cm="1">
        <f t="array" ref="M12">getchar($I12,M1)</f>
        <v>0</v>
      </c>
      <c r="N12" s="27" t="str" cm="1">
        <f t="array" ref="N12">getchar($I12,N1)</f>
        <v>0</v>
      </c>
      <c r="O12" s="27" t="str" cm="1">
        <f t="array" ref="O12">getchar($I12,O1)</f>
        <v>.</v>
      </c>
      <c r="P12" s="27" t="str" cm="1">
        <f t="array" ref="P12">getchar($I12,P1)</f>
        <v>1</v>
      </c>
      <c r="Q12" s="27" t="str" cm="1">
        <f t="array" ref="Q12">getchar($I12,Q1)</f>
        <v>1</v>
      </c>
      <c r="R12" s="27" t="str" cm="1">
        <f t="array" ref="R12">getchar($I12,R1)</f>
        <v>1</v>
      </c>
      <c r="S12" s="27" t="str" cm="1">
        <f t="array" ref="S12">getchar($I12,S1)</f>
        <v>0</v>
      </c>
      <c r="T12" s="27" t="str" cm="1">
        <f t="array" ref="T12">getchar($I12,T1)</f>
        <v>.</v>
      </c>
      <c r="U12" s="27" t="str" cm="1">
        <f t="array" ref="U12">getchar($I12,U1)</f>
        <v>0</v>
      </c>
      <c r="V12" s="27" t="str" cm="1">
        <f t="array" ref="V12">getchar($I12,V1)</f>
        <v>1</v>
      </c>
      <c r="W12" s="27" t="str" cm="1">
        <f t="array" ref="W12">getchar($I12,W1)</f>
        <v>0</v>
      </c>
      <c r="X12" s="27" t="str" cm="1">
        <f t="array" ref="X12">getchar($I12,X1)</f>
        <v>1</v>
      </c>
      <c r="Y12" s="27" t="str" cm="1">
        <f t="array" ref="Y12">getchar($I12,Y1)</f>
        <v>.</v>
      </c>
      <c r="Z12" s="27" t="str" cm="1">
        <f t="array" ref="Z12">getchar($I12,Z1)</f>
        <v>0</v>
      </c>
      <c r="AA12" s="27" t="str" cm="1">
        <f t="array" ref="AA12">getchar($I12,AA1)</f>
        <v>0</v>
      </c>
      <c r="AB12" s="27" t="str" cm="1">
        <f t="array" ref="AB12">getchar($I12,AB1)</f>
        <v>1</v>
      </c>
      <c r="AC12" s="27" t="str" cm="1">
        <f t="array" ref="AC12">getchar($I12,AC1)</f>
        <v>0</v>
      </c>
      <c r="AE12" t="str" cm="1">
        <f t="array" ref="AE12">summ(I3,I4)</f>
        <v>1111010010111010</v>
      </c>
      <c r="AG12" t="str" cm="1">
        <f t="array" ref="AG12">getchar($AE12,AG1)</f>
        <v>1</v>
      </c>
      <c r="AH12" t="str" cm="1">
        <f t="array" ref="AH12">getchar($AE12,AH1)</f>
        <v>1</v>
      </c>
      <c r="AI12" t="str" cm="1">
        <f t="array" ref="AI12">getchar($AE12,AI1)</f>
        <v>1</v>
      </c>
      <c r="AJ12" t="str" cm="1">
        <f t="array" ref="AJ12">getchar($AE12,AJ1)</f>
        <v>1</v>
      </c>
      <c r="AK12" t="str" cm="1">
        <f t="array" ref="AK12">getchar($AE12,AK1)</f>
        <v>.</v>
      </c>
      <c r="AL12" t="str" cm="1">
        <f t="array" ref="AL12">getchar($AE12,AL1)</f>
        <v>0</v>
      </c>
      <c r="AM12" t="str" cm="1">
        <f t="array" ref="AM12">getchar($AE12,AM1)</f>
        <v>1</v>
      </c>
      <c r="AN12" t="str" cm="1">
        <f t="array" ref="AN12">getchar($AE12,AN1)</f>
        <v>0</v>
      </c>
      <c r="AO12" t="str" cm="1">
        <f t="array" ref="AO12">getchar($AE12,AO1)</f>
        <v>0</v>
      </c>
      <c r="AP12" t="str" cm="1">
        <f t="array" ref="AP12">getchar($AE12,AP1)</f>
        <v>.</v>
      </c>
      <c r="AQ12" t="str" cm="1">
        <f t="array" ref="AQ12">getchar($AE12,AQ1)</f>
        <v>1</v>
      </c>
      <c r="AR12" t="str" cm="1">
        <f t="array" ref="AR12">getchar($AE12,AR1)</f>
        <v>0</v>
      </c>
      <c r="AS12" t="str" cm="1">
        <f t="array" ref="AS12">getchar($AE12,AS1)</f>
        <v>1</v>
      </c>
      <c r="AT12" t="str" cm="1">
        <f t="array" ref="AT12">getchar($AE12,AT1)</f>
        <v>1</v>
      </c>
      <c r="AU12" t="str" cm="1">
        <f t="array" ref="AU12">getchar($AE12,AU1)</f>
        <v>.</v>
      </c>
      <c r="AV12" t="str" cm="1">
        <f t="array" ref="AV12">getchar($AE12,AV1)</f>
        <v>1</v>
      </c>
      <c r="AW12" t="str" cm="1">
        <f t="array" ref="AW12">getchar($AE12,AW1)</f>
        <v>0</v>
      </c>
      <c r="AX12" t="str" cm="1">
        <f t="array" ref="AX12">getchar($AE12,AX1)</f>
        <v>1</v>
      </c>
      <c r="AY12" t="str" cm="1">
        <f t="array" ref="AY12">getchar($AE12,AY1)</f>
        <v>0</v>
      </c>
      <c r="AZ12" s="17" t="s">
        <v>49</v>
      </c>
      <c r="BA12" cm="1">
        <f t="array" ref="BA12">todec(AE12)</f>
        <v>-2886</v>
      </c>
      <c r="BE12">
        <f>BE9+BE10</f>
        <v>62650</v>
      </c>
      <c r="BF12" s="32"/>
      <c r="BG12" s="32"/>
      <c r="BH12" s="32"/>
      <c r="BI12" s="32"/>
      <c r="BJ12" s="32"/>
      <c r="BK12" s="32"/>
      <c r="BL12" s="32"/>
      <c r="BM12" s="32"/>
      <c r="BN12" s="32"/>
      <c r="BO12" s="18"/>
      <c r="BP12" s="18"/>
    </row>
    <row r="13" spans="1:70" ht="14.65" thickBot="1" x14ac:dyDescent="0.5">
      <c r="D13" s="8" t="s">
        <v>13</v>
      </c>
      <c r="E13" s="9" t="s">
        <v>24</v>
      </c>
      <c r="F13" s="10">
        <f>-F7</f>
        <v>-2886</v>
      </c>
      <c r="H13" s="23" t="s">
        <v>36</v>
      </c>
      <c r="I13" s="24" t="str" cm="1">
        <f t="array" ref="I13">tobin(F13)</f>
        <v>1111010010111010</v>
      </c>
      <c r="J13" s="24"/>
      <c r="K13" s="29" t="str" cm="1">
        <f t="array" ref="K13">getchar($I13,K1)</f>
        <v>1</v>
      </c>
      <c r="L13" s="29" t="str" cm="1">
        <f t="array" ref="L13">getchar($I13,L1)</f>
        <v>1</v>
      </c>
      <c r="M13" s="29" t="str" cm="1">
        <f t="array" ref="M13">getchar($I13,M1)</f>
        <v>1</v>
      </c>
      <c r="N13" s="29" t="str" cm="1">
        <f t="array" ref="N13">getchar($I13,N1)</f>
        <v>1</v>
      </c>
      <c r="O13" s="29" t="str" cm="1">
        <f t="array" ref="O13">getchar($I13,O1)</f>
        <v>.</v>
      </c>
      <c r="P13" s="29" t="str" cm="1">
        <f t="array" ref="P13">getchar($I13,P1)</f>
        <v>0</v>
      </c>
      <c r="Q13" s="29" t="str" cm="1">
        <f t="array" ref="Q13">getchar($I13,Q1)</f>
        <v>1</v>
      </c>
      <c r="R13" s="29" t="str" cm="1">
        <f t="array" ref="R13">getchar($I13,R1)</f>
        <v>0</v>
      </c>
      <c r="S13" s="29" t="str" cm="1">
        <f t="array" ref="S13">getchar($I13,S1)</f>
        <v>0</v>
      </c>
      <c r="T13" s="29" t="str" cm="1">
        <f t="array" ref="T13">getchar($I13,T1)</f>
        <v>.</v>
      </c>
      <c r="U13" s="29" t="str" cm="1">
        <f t="array" ref="U13">getchar($I13,U1)</f>
        <v>1</v>
      </c>
      <c r="V13" s="29" t="str" cm="1">
        <f t="array" ref="V13">getchar($I13,V1)</f>
        <v>0</v>
      </c>
      <c r="W13" s="29" t="str" cm="1">
        <f t="array" ref="W13">getchar($I13,W1)</f>
        <v>1</v>
      </c>
      <c r="X13" s="29" t="str" cm="1">
        <f t="array" ref="X13">getchar($I13,X1)</f>
        <v>1</v>
      </c>
      <c r="Y13" s="29" t="str" cm="1">
        <f t="array" ref="Y13">getchar($I13,Y1)</f>
        <v>.</v>
      </c>
      <c r="Z13" s="29" t="str" cm="1">
        <f t="array" ref="Z13">getchar($I13,Z1)</f>
        <v>1</v>
      </c>
      <c r="AA13" s="29" t="str" cm="1">
        <f t="array" ref="AA13">getchar($I13,AA1)</f>
        <v>0</v>
      </c>
      <c r="AB13" s="29" t="str" cm="1">
        <f t="array" ref="AB13">getchar($I13,AB1)</f>
        <v>1</v>
      </c>
      <c r="AC13" s="30" t="str" cm="1">
        <f t="array" ref="AC13">getchar($I13,AC1)</f>
        <v>0</v>
      </c>
      <c r="AF13" s="14"/>
      <c r="BF13" s="11"/>
      <c r="BG13" s="11"/>
      <c r="BH13" s="11"/>
      <c r="BI13" s="11"/>
      <c r="BJ13" s="11"/>
      <c r="BK13" s="11"/>
      <c r="BL13" s="11"/>
      <c r="BM13" s="11"/>
      <c r="BN13" s="11"/>
    </row>
    <row r="14" spans="1:70" x14ac:dyDescent="0.45">
      <c r="K14" s="11"/>
      <c r="L14" s="11"/>
      <c r="M14" s="11"/>
      <c r="N14" s="11"/>
      <c r="P14" s="11"/>
      <c r="Q14" s="11"/>
      <c r="R14" s="11"/>
      <c r="S14" s="11"/>
      <c r="U14" s="11"/>
      <c r="V14" s="11"/>
      <c r="W14" s="11"/>
      <c r="X14" s="11"/>
      <c r="Z14" s="11"/>
      <c r="AA14" s="11"/>
      <c r="AB14" s="11"/>
      <c r="AC14" s="11"/>
      <c r="AG14" s="15" t="s">
        <v>40</v>
      </c>
      <c r="AH14" s="15"/>
      <c r="AI14" s="15"/>
      <c r="AJ14">
        <f>IF(OR(AND(AG9 = 1, AG10 = 0, AG12 = 0), AND(AG9 = 1, AG10 = 1), AND(AG9 = 0, AG10 = 1, AG12 = 0)),1,0)</f>
        <v>0</v>
      </c>
      <c r="AL14" s="15" t="s">
        <v>41</v>
      </c>
      <c r="AM14" s="15"/>
      <c r="AN14" s="15"/>
      <c r="AO14">
        <f>IF(MOD(AQ12+AR12+AS12+AT12+AV12+AW12+AX12+AY12, 2) = 0, 1,0)</f>
        <v>0</v>
      </c>
      <c r="AQ14" s="15" t="s">
        <v>42</v>
      </c>
      <c r="AR14" s="15"/>
      <c r="AS14" s="15"/>
      <c r="AT14">
        <f>IF(OR(AND(AT9 = 0, AT10 = 1, AT12 = 0), AND(AT9 = 1, AT10 = 0, AT12 = 0), AND(AT9 = 0, AT10 = 0, AT12 = 1), AND(AT9 = 1, AT10 = 1, AT12 = 1)),1,0)</f>
        <v>0</v>
      </c>
      <c r="AV14" s="15" t="s">
        <v>43</v>
      </c>
      <c r="AW14" s="15"/>
      <c r="AX14" s="15"/>
      <c r="AY14">
        <f>IF(BA12=0, 1,0)</f>
        <v>0</v>
      </c>
      <c r="AZ14" s="15" t="s">
        <v>57</v>
      </c>
      <c r="BA14" t="str">
        <f>AG12</f>
        <v>1</v>
      </c>
      <c r="BB14" s="15" t="s">
        <v>58</v>
      </c>
      <c r="BC14">
        <f>IF(OR(AND(AG9 = 0, AG10 = 0, AG12 = 1), AND(AG9 = 1, AG10 = 1, AG12 = 0)),1,0)</f>
        <v>0</v>
      </c>
    </row>
    <row r="16" spans="1:70" x14ac:dyDescent="0.45">
      <c r="K16" t="s">
        <v>59</v>
      </c>
      <c r="AE16" t="s">
        <v>38</v>
      </c>
      <c r="AG16" t="str">
        <f t="shared" ref="AG16:AY16" si="5">K3</f>
        <v>0</v>
      </c>
      <c r="AH16" t="str">
        <f t="shared" si="5"/>
        <v>1</v>
      </c>
      <c r="AI16" t="str">
        <f t="shared" si="5"/>
        <v>1</v>
      </c>
      <c r="AJ16" t="str">
        <f t="shared" si="5"/>
        <v>1</v>
      </c>
      <c r="AK16" t="str">
        <f t="shared" si="5"/>
        <v>.</v>
      </c>
      <c r="AL16" t="str">
        <f t="shared" si="5"/>
        <v>0</v>
      </c>
      <c r="AM16" t="str">
        <f t="shared" si="5"/>
        <v>1</v>
      </c>
      <c r="AN16" t="str">
        <f t="shared" si="5"/>
        <v>1</v>
      </c>
      <c r="AO16" t="str">
        <f t="shared" si="5"/>
        <v>1</v>
      </c>
      <c r="AP16" t="str">
        <f t="shared" si="5"/>
        <v>.</v>
      </c>
      <c r="AQ16" t="str">
        <f t="shared" si="5"/>
        <v>0</v>
      </c>
      <c r="AR16" t="str">
        <f t="shared" si="5"/>
        <v>1</v>
      </c>
      <c r="AS16" t="str">
        <f t="shared" si="5"/>
        <v>1</v>
      </c>
      <c r="AT16" t="str">
        <f t="shared" si="5"/>
        <v>1</v>
      </c>
      <c r="AU16" t="str">
        <f t="shared" si="5"/>
        <v>.</v>
      </c>
      <c r="AV16" t="str">
        <f t="shared" si="5"/>
        <v>1</v>
      </c>
      <c r="AW16" t="str">
        <f t="shared" si="5"/>
        <v>0</v>
      </c>
      <c r="AX16" t="str">
        <f t="shared" si="5"/>
        <v>0</v>
      </c>
      <c r="AY16" t="str">
        <f t="shared" si="5"/>
        <v>0</v>
      </c>
      <c r="BC16" t="s">
        <v>51</v>
      </c>
      <c r="BE16">
        <f>F3</f>
        <v>30584</v>
      </c>
      <c r="BF16" s="32" t="str" cm="1">
        <f t="array" ref="BF16">getComment(BE16,BE17)</f>
        <v>Результат корректный. Перенос из старшего разряда не учитывается</v>
      </c>
      <c r="BG16" s="32"/>
      <c r="BH16" s="32"/>
      <c r="BI16" s="32"/>
      <c r="BJ16" s="32"/>
      <c r="BK16" s="32"/>
      <c r="BL16" s="32"/>
      <c r="BM16" s="32"/>
      <c r="BN16" s="32"/>
      <c r="BO16" s="18"/>
      <c r="BP16" s="18"/>
    </row>
    <row r="17" spans="2:68" x14ac:dyDescent="0.45">
      <c r="AD17" s="16" t="s">
        <v>39</v>
      </c>
      <c r="AE17" t="s">
        <v>45</v>
      </c>
      <c r="AG17" t="str">
        <f t="shared" ref="AG17:AY17" si="6">K8</f>
        <v>1</v>
      </c>
      <c r="AH17" t="str">
        <f t="shared" si="6"/>
        <v>1</v>
      </c>
      <c r="AI17" t="str">
        <f t="shared" si="6"/>
        <v>1</v>
      </c>
      <c r="AJ17" t="str">
        <f t="shared" si="6"/>
        <v>1</v>
      </c>
      <c r="AK17" t="str">
        <f t="shared" si="6"/>
        <v>.</v>
      </c>
      <c r="AL17" t="str">
        <f t="shared" si="6"/>
        <v>1</v>
      </c>
      <c r="AM17" t="str">
        <f t="shared" si="6"/>
        <v>0</v>
      </c>
      <c r="AN17" t="str">
        <f t="shared" si="6"/>
        <v>1</v>
      </c>
      <c r="AO17" t="str">
        <f t="shared" si="6"/>
        <v>0</v>
      </c>
      <c r="AP17" t="str">
        <f t="shared" si="6"/>
        <v>.</v>
      </c>
      <c r="AQ17" t="str">
        <f t="shared" si="6"/>
        <v>0</v>
      </c>
      <c r="AR17" t="str">
        <f t="shared" si="6"/>
        <v>0</v>
      </c>
      <c r="AS17" t="str">
        <f t="shared" si="6"/>
        <v>1</v>
      </c>
      <c r="AT17" t="str">
        <f t="shared" si="6"/>
        <v>1</v>
      </c>
      <c r="AU17" t="str">
        <f t="shared" si="6"/>
        <v>.</v>
      </c>
      <c r="AV17" t="str">
        <f t="shared" si="6"/>
        <v>0</v>
      </c>
      <c r="AW17" t="str">
        <f t="shared" si="6"/>
        <v>1</v>
      </c>
      <c r="AX17" t="str">
        <f t="shared" si="6"/>
        <v>1</v>
      </c>
      <c r="AY17" t="str">
        <f t="shared" si="6"/>
        <v>0</v>
      </c>
      <c r="BB17" s="16" t="s">
        <v>39</v>
      </c>
      <c r="BC17" t="s">
        <v>53</v>
      </c>
      <c r="BE17">
        <f>F8</f>
        <v>-1482</v>
      </c>
      <c r="BF17" s="32"/>
      <c r="BG17" s="32"/>
      <c r="BH17" s="32"/>
      <c r="BI17" s="32"/>
      <c r="BJ17" s="32"/>
      <c r="BK17" s="32"/>
      <c r="BL17" s="32"/>
      <c r="BM17" s="32"/>
      <c r="BN17" s="32"/>
      <c r="BO17" s="18"/>
      <c r="BP17" s="18"/>
    </row>
    <row r="18" spans="2:68" x14ac:dyDescent="0.45">
      <c r="AD18" s="12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BB18" s="15" t="s">
        <v>49</v>
      </c>
      <c r="BC18" s="13"/>
      <c r="BD18" s="13"/>
      <c r="BE18" s="13"/>
      <c r="BF18" s="32"/>
      <c r="BG18" s="32"/>
      <c r="BH18" s="32"/>
      <c r="BI18" s="32"/>
      <c r="BJ18" s="32"/>
      <c r="BK18" s="32"/>
      <c r="BL18" s="32"/>
      <c r="BM18" s="32"/>
      <c r="BN18" s="32"/>
      <c r="BO18" s="18"/>
      <c r="BP18" s="18"/>
    </row>
    <row r="19" spans="2:68" x14ac:dyDescent="0.45">
      <c r="B19" s="11"/>
      <c r="AD19" s="12"/>
      <c r="AE19" t="str" cm="1">
        <f t="array" ref="AE19">summ(I3,I8)</f>
        <v>0111000110101110</v>
      </c>
      <c r="AG19" t="str" cm="1">
        <f t="array" ref="AG19">getchar($AE19,AG1)</f>
        <v>0</v>
      </c>
      <c r="AH19" t="str" cm="1">
        <f t="array" ref="AH19">getchar($AE19,AH1)</f>
        <v>1</v>
      </c>
      <c r="AI19" t="str" cm="1">
        <f t="array" ref="AI19">getchar($AE19,AI1)</f>
        <v>1</v>
      </c>
      <c r="AJ19" t="str" cm="1">
        <f t="array" ref="AJ19">getchar($AE19,AJ1)</f>
        <v>1</v>
      </c>
      <c r="AK19" t="str" cm="1">
        <f t="array" ref="AK19">getchar($AE19,AK1)</f>
        <v>.</v>
      </c>
      <c r="AL19" t="str" cm="1">
        <f t="array" ref="AL19">getchar($AE19,AL1)</f>
        <v>0</v>
      </c>
      <c r="AM19" t="str" cm="1">
        <f t="array" ref="AM19">getchar($AE19,AM1)</f>
        <v>0</v>
      </c>
      <c r="AN19" t="str" cm="1">
        <f t="array" ref="AN19">getchar($AE19,AN1)</f>
        <v>0</v>
      </c>
      <c r="AO19" t="str" cm="1">
        <f t="array" ref="AO19">getchar($AE19,AO1)</f>
        <v>1</v>
      </c>
      <c r="AP19" t="str" cm="1">
        <f t="array" ref="AP19">getchar($AE19,AP1)</f>
        <v>.</v>
      </c>
      <c r="AQ19" t="str" cm="1">
        <f t="array" ref="AQ19">getchar($AE19,AQ1)</f>
        <v>1</v>
      </c>
      <c r="AR19" t="str" cm="1">
        <f t="array" ref="AR19">getchar($AE19,AR1)</f>
        <v>0</v>
      </c>
      <c r="AS19" t="str" cm="1">
        <f t="array" ref="AS19">getchar($AE19,AS1)</f>
        <v>1</v>
      </c>
      <c r="AT19" t="str" cm="1">
        <f t="array" ref="AT19">getchar($AE19,AT1)</f>
        <v>0</v>
      </c>
      <c r="AU19" t="str" cm="1">
        <f t="array" ref="AU19">getchar($AE19,AU1)</f>
        <v>.</v>
      </c>
      <c r="AV19" t="str" cm="1">
        <f t="array" ref="AV19">getchar($AE19,AV1)</f>
        <v>1</v>
      </c>
      <c r="AW19" t="str" cm="1">
        <f t="array" ref="AW19">getchar($AE19,AW1)</f>
        <v>1</v>
      </c>
      <c r="AX19" t="str" cm="1">
        <f t="array" ref="AX19">getchar($AE19,AX1)</f>
        <v>1</v>
      </c>
      <c r="AY19" t="str" cm="1">
        <f t="array" ref="AY19">getchar($AE19,AY1)</f>
        <v>0</v>
      </c>
      <c r="AZ19" s="17" t="s">
        <v>49</v>
      </c>
      <c r="BA19" cm="1">
        <f t="array" ref="BA19">todec(AE19)</f>
        <v>29102</v>
      </c>
      <c r="BE19">
        <f>BE16+BE17</f>
        <v>29102</v>
      </c>
      <c r="BF19" s="32"/>
      <c r="BG19" s="32"/>
      <c r="BH19" s="32"/>
      <c r="BI19" s="32"/>
      <c r="BJ19" s="32"/>
      <c r="BK19" s="32"/>
      <c r="BL19" s="32"/>
      <c r="BM19" s="32"/>
      <c r="BN19" s="32"/>
      <c r="BO19" s="18"/>
      <c r="BP19" s="18"/>
    </row>
    <row r="20" spans="2:68" x14ac:dyDescent="0.45">
      <c r="J20" s="31"/>
      <c r="AD20" s="12"/>
      <c r="AF20" s="14"/>
    </row>
    <row r="21" spans="2:68" x14ac:dyDescent="0.45">
      <c r="AD21" s="12"/>
      <c r="AG21" s="15" t="s">
        <v>40</v>
      </c>
      <c r="AH21" s="15"/>
      <c r="AI21" s="15"/>
      <c r="AJ21">
        <f>IF(OR(AND(AG16 = 1, AG17 = 0, AG19 = 0), AND(AG16 = 1, AG17 = 1), AND(AG16 = 0, AG17 = 1, AG19 = 0)),1,0)</f>
        <v>0</v>
      </c>
      <c r="AL21" s="15" t="s">
        <v>41</v>
      </c>
      <c r="AM21" s="15"/>
      <c r="AN21" s="15"/>
      <c r="AO21">
        <f>IF(MOD(AQ19+AR19+AS19+AT19+AV19+AW19+AX19+AY19, 2) = 0, 1,0)</f>
        <v>0</v>
      </c>
      <c r="AQ21" s="15" t="s">
        <v>42</v>
      </c>
      <c r="AR21" s="15"/>
      <c r="AS21" s="15"/>
      <c r="AT21">
        <f>IF(OR(AND(AT16 = 0, AT17 = 1, AT19 = 0), AND(AT16 = 1, AT17 = 0, AT19 = 0), AND(AT16 = 0, AT17 = 0, AT19 = 1), AND(AT16 = 1, AT17 = 1, AT19 = 1)),1,0)</f>
        <v>0</v>
      </c>
      <c r="AV21" s="15" t="s">
        <v>43</v>
      </c>
      <c r="AW21" s="15"/>
      <c r="AX21" s="15"/>
      <c r="AY21">
        <f>IF(BA19=0, 1,0)</f>
        <v>0</v>
      </c>
      <c r="AZ21" s="15" t="s">
        <v>57</v>
      </c>
      <c r="BA21" t="str">
        <f>AG19</f>
        <v>0</v>
      </c>
      <c r="BB21" s="15" t="s">
        <v>58</v>
      </c>
      <c r="BC21">
        <f>IF(OR(AND(AG16 = 0, AG17 = 0, AG19 = 1), AND(AG16 = 1, AG17 = 1, AG19 = 0)),1,0)</f>
        <v>0</v>
      </c>
    </row>
    <row r="22" spans="2:68" x14ac:dyDescent="0.45">
      <c r="AD22" s="12"/>
    </row>
    <row r="23" spans="2:68" x14ac:dyDescent="0.45">
      <c r="AD23" s="12"/>
      <c r="AE23" t="s">
        <v>45</v>
      </c>
      <c r="AG23" t="str">
        <f t="shared" ref="AG23:AP24" si="7">K8</f>
        <v>1</v>
      </c>
      <c r="AH23" t="str">
        <f t="shared" si="7"/>
        <v>1</v>
      </c>
      <c r="AI23" t="str">
        <f t="shared" si="7"/>
        <v>1</v>
      </c>
      <c r="AJ23" t="str">
        <f t="shared" si="7"/>
        <v>1</v>
      </c>
      <c r="AK23" t="str">
        <f t="shared" si="7"/>
        <v>.</v>
      </c>
      <c r="AL23" t="str">
        <f t="shared" si="7"/>
        <v>1</v>
      </c>
      <c r="AM23" t="str">
        <f t="shared" si="7"/>
        <v>0</v>
      </c>
      <c r="AN23" t="str">
        <f t="shared" si="7"/>
        <v>1</v>
      </c>
      <c r="AO23" t="str">
        <f t="shared" si="7"/>
        <v>0</v>
      </c>
      <c r="AP23" t="str">
        <f t="shared" si="7"/>
        <v>.</v>
      </c>
      <c r="AQ23" t="str">
        <f t="shared" ref="AQ23:AY24" si="8">U8</f>
        <v>0</v>
      </c>
      <c r="AR23" t="str">
        <f t="shared" si="8"/>
        <v>0</v>
      </c>
      <c r="AS23" t="str">
        <f t="shared" si="8"/>
        <v>1</v>
      </c>
      <c r="AT23" t="str">
        <f t="shared" si="8"/>
        <v>1</v>
      </c>
      <c r="AU23" t="str">
        <f t="shared" si="8"/>
        <v>.</v>
      </c>
      <c r="AV23" t="str">
        <f t="shared" si="8"/>
        <v>0</v>
      </c>
      <c r="AW23" t="str">
        <f t="shared" si="8"/>
        <v>1</v>
      </c>
      <c r="AX23" t="str">
        <f t="shared" si="8"/>
        <v>1</v>
      </c>
      <c r="AY23" t="str">
        <f t="shared" si="8"/>
        <v>0</v>
      </c>
      <c r="BC23" t="s">
        <v>53</v>
      </c>
      <c r="BE23">
        <f>F8</f>
        <v>-1482</v>
      </c>
      <c r="BF23" s="32" t="str" cm="1">
        <f t="array" ref="BF23">getComment(BE23,BE24)</f>
        <v>Результат корректный. Перенос из старшего разряда не учитывается</v>
      </c>
      <c r="BG23" s="32"/>
      <c r="BH23" s="32"/>
      <c r="BI23" s="32"/>
      <c r="BJ23" s="32"/>
      <c r="BK23" s="32"/>
      <c r="BL23" s="32"/>
      <c r="BM23" s="32"/>
      <c r="BN23" s="32"/>
      <c r="BO23" s="18"/>
      <c r="BP23" s="18"/>
    </row>
    <row r="24" spans="2:68" x14ac:dyDescent="0.45">
      <c r="AD24" s="16" t="s">
        <v>39</v>
      </c>
      <c r="AE24" t="s">
        <v>46</v>
      </c>
      <c r="AG24" t="str">
        <f t="shared" si="7"/>
        <v>1</v>
      </c>
      <c r="AH24" t="str">
        <f t="shared" si="7"/>
        <v>0</v>
      </c>
      <c r="AI24" t="str">
        <f t="shared" si="7"/>
        <v>0</v>
      </c>
      <c r="AJ24" t="str">
        <f t="shared" si="7"/>
        <v>0</v>
      </c>
      <c r="AK24" t="str">
        <f t="shared" si="7"/>
        <v>.</v>
      </c>
      <c r="AL24" t="str">
        <f t="shared" si="7"/>
        <v>1</v>
      </c>
      <c r="AM24" t="str">
        <f t="shared" si="7"/>
        <v>0</v>
      </c>
      <c r="AN24" t="str">
        <f t="shared" si="7"/>
        <v>0</v>
      </c>
      <c r="AO24" t="str">
        <f t="shared" si="7"/>
        <v>0</v>
      </c>
      <c r="AP24" t="str">
        <f t="shared" si="7"/>
        <v>.</v>
      </c>
      <c r="AQ24" t="str">
        <f t="shared" si="8"/>
        <v>1</v>
      </c>
      <c r="AR24" t="str">
        <f t="shared" si="8"/>
        <v>0</v>
      </c>
      <c r="AS24" t="str">
        <f t="shared" si="8"/>
        <v>0</v>
      </c>
      <c r="AT24" t="str">
        <f t="shared" si="8"/>
        <v>0</v>
      </c>
      <c r="AU24" t="str">
        <f t="shared" si="8"/>
        <v>.</v>
      </c>
      <c r="AV24" t="str">
        <f t="shared" si="8"/>
        <v>1</v>
      </c>
      <c r="AW24" t="str">
        <f t="shared" si="8"/>
        <v>0</v>
      </c>
      <c r="AX24" t="str">
        <f t="shared" si="8"/>
        <v>0</v>
      </c>
      <c r="AY24" t="str">
        <f t="shared" si="8"/>
        <v>0</v>
      </c>
      <c r="BB24" s="16" t="s">
        <v>39</v>
      </c>
      <c r="BC24" t="s">
        <v>54</v>
      </c>
      <c r="BE24">
        <f>F9</f>
        <v>-30584</v>
      </c>
      <c r="BF24" s="32"/>
      <c r="BG24" s="32"/>
      <c r="BH24" s="32"/>
      <c r="BI24" s="32"/>
      <c r="BJ24" s="32"/>
      <c r="BK24" s="32"/>
      <c r="BL24" s="32"/>
      <c r="BM24" s="32"/>
      <c r="BN24" s="32"/>
      <c r="BO24" s="18"/>
      <c r="BP24" s="18"/>
    </row>
    <row r="25" spans="2:68" x14ac:dyDescent="0.45">
      <c r="AD25" s="12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BB25" s="15" t="s">
        <v>49</v>
      </c>
      <c r="BC25" s="13"/>
      <c r="BD25" s="13"/>
      <c r="BE25" s="13"/>
      <c r="BF25" s="32"/>
      <c r="BG25" s="32"/>
      <c r="BH25" s="32"/>
      <c r="BI25" s="32"/>
      <c r="BJ25" s="32"/>
      <c r="BK25" s="32"/>
      <c r="BL25" s="32"/>
      <c r="BM25" s="32"/>
      <c r="BN25" s="32"/>
      <c r="BO25" s="18"/>
      <c r="BP25" s="18"/>
    </row>
    <row r="26" spans="2:68" x14ac:dyDescent="0.45">
      <c r="AD26" s="12"/>
      <c r="AE26" t="str" cm="1">
        <f t="array" ref="AE26">summ(I8,I9)</f>
        <v>1000001010111110</v>
      </c>
      <c r="AG26" t="str" cm="1">
        <f t="array" ref="AG26">getchar($AE26,AG1)</f>
        <v>1</v>
      </c>
      <c r="AH26" t="str" cm="1">
        <f t="array" ref="AH26">getchar($AE26,AH1)</f>
        <v>0</v>
      </c>
      <c r="AI26" t="str" cm="1">
        <f t="array" ref="AI26">getchar($AE26,AI1)</f>
        <v>0</v>
      </c>
      <c r="AJ26" t="str" cm="1">
        <f t="array" ref="AJ26">getchar($AE26,AJ1)</f>
        <v>0</v>
      </c>
      <c r="AK26" t="str" cm="1">
        <f t="array" ref="AK26">getchar($AE26,AK1)</f>
        <v>.</v>
      </c>
      <c r="AL26" t="str" cm="1">
        <f t="array" ref="AL26">getchar($AE26,AL1)</f>
        <v>0</v>
      </c>
      <c r="AM26" t="str" cm="1">
        <f t="array" ref="AM26">getchar($AE26,AM1)</f>
        <v>0</v>
      </c>
      <c r="AN26" t="str" cm="1">
        <f t="array" ref="AN26">getchar($AE26,AN1)</f>
        <v>1</v>
      </c>
      <c r="AO26" t="str" cm="1">
        <f t="array" ref="AO26">getchar($AE26,AO1)</f>
        <v>0</v>
      </c>
      <c r="AP26" t="str" cm="1">
        <f t="array" ref="AP26">getchar($AE26,AP1)</f>
        <v>.</v>
      </c>
      <c r="AQ26" t="str" cm="1">
        <f t="array" ref="AQ26">getchar($AE26,AQ1)</f>
        <v>1</v>
      </c>
      <c r="AR26" t="str" cm="1">
        <f t="array" ref="AR26">getchar($AE26,AR1)</f>
        <v>0</v>
      </c>
      <c r="AS26" t="str" cm="1">
        <f t="array" ref="AS26">getchar($AE26,AS1)</f>
        <v>1</v>
      </c>
      <c r="AT26" t="str" cm="1">
        <f t="array" ref="AT26">getchar($AE26,AT1)</f>
        <v>1</v>
      </c>
      <c r="AU26" t="str" cm="1">
        <f t="array" ref="AU26">getchar($AE26,AU1)</f>
        <v>.</v>
      </c>
      <c r="AV26" t="str" cm="1">
        <f t="array" ref="AV26">getchar($AE26,AV1)</f>
        <v>1</v>
      </c>
      <c r="AW26" t="str" cm="1">
        <f t="array" ref="AW26">getchar($AE26,AW1)</f>
        <v>1</v>
      </c>
      <c r="AX26" t="str" cm="1">
        <f t="array" ref="AX26">getchar($AE26,AX1)</f>
        <v>1</v>
      </c>
      <c r="AY26" t="str" cm="1">
        <f t="array" ref="AY26">getchar($AE26,AY1)</f>
        <v>0</v>
      </c>
      <c r="AZ26" s="17" t="s">
        <v>49</v>
      </c>
      <c r="BA26" cm="1">
        <f t="array" ref="BA26">todec(AE26)</f>
        <v>-32066</v>
      </c>
      <c r="BE26">
        <f>BE23+BE24</f>
        <v>-32066</v>
      </c>
      <c r="BF26" s="32"/>
      <c r="BG26" s="32"/>
      <c r="BH26" s="32"/>
      <c r="BI26" s="32"/>
      <c r="BJ26" s="32"/>
      <c r="BK26" s="32"/>
      <c r="BL26" s="32"/>
      <c r="BM26" s="32"/>
      <c r="BN26" s="32"/>
      <c r="BO26" s="18"/>
      <c r="BP26" s="18"/>
    </row>
    <row r="27" spans="2:68" x14ac:dyDescent="0.45">
      <c r="AD27" s="12"/>
      <c r="AF27" s="14"/>
    </row>
    <row r="28" spans="2:68" x14ac:dyDescent="0.45">
      <c r="AD28" s="12"/>
      <c r="AG28" s="15" t="s">
        <v>40</v>
      </c>
      <c r="AH28" s="15"/>
      <c r="AI28" s="15"/>
      <c r="AJ28">
        <f>IF(OR(AND(AG23 = 1, AG24 = 0, AG26 = 0), AND(AG23 = 1, AG24 = 1), AND(AG23 = 0, AG24 = 1, AG26 = 0)),1,0)</f>
        <v>0</v>
      </c>
      <c r="AL28" s="15" t="s">
        <v>41</v>
      </c>
      <c r="AM28" s="15"/>
      <c r="AN28" s="15"/>
      <c r="AO28">
        <f>IF(MOD(AQ26+AR26+AS26+AT26+AV26+AW26+AX26+AY26, 2) = 0, 1,0)</f>
        <v>1</v>
      </c>
      <c r="AQ28" s="15" t="s">
        <v>42</v>
      </c>
      <c r="AR28" s="15"/>
      <c r="AS28" s="15"/>
      <c r="AT28">
        <f>IF(OR(AND(AT23 = 0, AT24 = 1, AT26 = 0), AND(AT23 = 1, AT24 = 0, AT26 = 0), AND(AT23 = 0, AT24 = 0, AT26 = 1), AND(AT23 = 1, AT24 = 1, AT26 = 1)),1,0)</f>
        <v>0</v>
      </c>
      <c r="AV28" s="15" t="s">
        <v>43</v>
      </c>
      <c r="AW28" s="15"/>
      <c r="AX28" s="15"/>
      <c r="AY28">
        <f>IF(BA26=0, 1,0)</f>
        <v>0</v>
      </c>
      <c r="AZ28" s="15" t="s">
        <v>57</v>
      </c>
      <c r="BA28" t="str">
        <f>AG26</f>
        <v>1</v>
      </c>
      <c r="BB28" s="15" t="s">
        <v>58</v>
      </c>
      <c r="BC28">
        <f>IF(OR(AND(AG23 = 0, AG24 = 0, AG26 = 1), AND(AG23 = 1, AG24 = 1, AG26 = 0)),1,0)</f>
        <v>0</v>
      </c>
    </row>
    <row r="29" spans="2:68" x14ac:dyDescent="0.45">
      <c r="AD29" s="12"/>
    </row>
    <row r="30" spans="2:68" x14ac:dyDescent="0.45">
      <c r="AD30" s="12"/>
      <c r="AE30" t="s">
        <v>46</v>
      </c>
      <c r="AG30" t="str">
        <f t="shared" ref="AG30:AP31" si="9">K9</f>
        <v>1</v>
      </c>
      <c r="AH30" t="str">
        <f t="shared" si="9"/>
        <v>0</v>
      </c>
      <c r="AI30" t="str">
        <f t="shared" si="9"/>
        <v>0</v>
      </c>
      <c r="AJ30" t="str">
        <f t="shared" si="9"/>
        <v>0</v>
      </c>
      <c r="AK30" t="str">
        <f t="shared" si="9"/>
        <v>.</v>
      </c>
      <c r="AL30" t="str">
        <f t="shared" si="9"/>
        <v>1</v>
      </c>
      <c r="AM30" t="str">
        <f t="shared" si="9"/>
        <v>0</v>
      </c>
      <c r="AN30" t="str">
        <f t="shared" si="9"/>
        <v>0</v>
      </c>
      <c r="AO30" t="str">
        <f t="shared" si="9"/>
        <v>0</v>
      </c>
      <c r="AP30" t="str">
        <f t="shared" si="9"/>
        <v>.</v>
      </c>
      <c r="AQ30" t="str">
        <f t="shared" ref="AQ30:AY31" si="10">U9</f>
        <v>1</v>
      </c>
      <c r="AR30" t="str">
        <f t="shared" si="10"/>
        <v>0</v>
      </c>
      <c r="AS30" t="str">
        <f t="shared" si="10"/>
        <v>0</v>
      </c>
      <c r="AT30" t="str">
        <f t="shared" si="10"/>
        <v>0</v>
      </c>
      <c r="AU30" t="str">
        <f t="shared" si="10"/>
        <v>.</v>
      </c>
      <c r="AV30" t="str">
        <f t="shared" si="10"/>
        <v>1</v>
      </c>
      <c r="AW30" t="str">
        <f t="shared" si="10"/>
        <v>0</v>
      </c>
      <c r="AX30" t="str">
        <f t="shared" si="10"/>
        <v>0</v>
      </c>
      <c r="AY30" t="str">
        <f t="shared" si="10"/>
        <v>0</v>
      </c>
      <c r="BC30" t="s">
        <v>54</v>
      </c>
      <c r="BE30">
        <f>F9</f>
        <v>-30584</v>
      </c>
      <c r="BF30" s="32" t="str" cm="1">
        <f t="array" ref="BF30">getComment(BE30,BE31)</f>
        <v>При сложении отрицательных чисел получен положительный результат - ПЕРЕПОЛНЕНИЕ!</v>
      </c>
      <c r="BG30" s="32"/>
      <c r="BH30" s="32"/>
      <c r="BI30" s="32"/>
      <c r="BJ30" s="32"/>
      <c r="BK30" s="32"/>
      <c r="BL30" s="32"/>
      <c r="BM30" s="32"/>
      <c r="BN30" s="32"/>
      <c r="BO30" s="18"/>
      <c r="BP30" s="18"/>
    </row>
    <row r="31" spans="2:68" x14ac:dyDescent="0.45">
      <c r="AD31" s="16" t="s">
        <v>39</v>
      </c>
      <c r="AE31" t="s">
        <v>47</v>
      </c>
      <c r="AG31" t="str">
        <f t="shared" si="9"/>
        <v>1</v>
      </c>
      <c r="AH31" t="str">
        <f t="shared" si="9"/>
        <v>0</v>
      </c>
      <c r="AI31" t="str">
        <f t="shared" si="9"/>
        <v>0</v>
      </c>
      <c r="AJ31" t="str">
        <f t="shared" si="9"/>
        <v>0</v>
      </c>
      <c r="AK31" t="str">
        <f t="shared" si="9"/>
        <v>.</v>
      </c>
      <c r="AL31" t="str">
        <f t="shared" si="9"/>
        <v>0</v>
      </c>
      <c r="AM31" t="str">
        <f t="shared" si="9"/>
        <v>0</v>
      </c>
      <c r="AN31" t="str">
        <f t="shared" si="9"/>
        <v>1</v>
      </c>
      <c r="AO31" t="str">
        <f t="shared" si="9"/>
        <v>0</v>
      </c>
      <c r="AP31" t="str">
        <f t="shared" si="9"/>
        <v>.</v>
      </c>
      <c r="AQ31" t="str">
        <f t="shared" si="10"/>
        <v>1</v>
      </c>
      <c r="AR31" t="str">
        <f t="shared" si="10"/>
        <v>0</v>
      </c>
      <c r="AS31" t="str">
        <f t="shared" si="10"/>
        <v>1</v>
      </c>
      <c r="AT31" t="str">
        <f t="shared" si="10"/>
        <v>1</v>
      </c>
      <c r="AU31" t="str">
        <f t="shared" si="10"/>
        <v>.</v>
      </c>
      <c r="AV31" t="str">
        <f t="shared" si="10"/>
        <v>1</v>
      </c>
      <c r="AW31" t="str">
        <f t="shared" si="10"/>
        <v>1</v>
      </c>
      <c r="AX31" t="str">
        <f t="shared" si="10"/>
        <v>1</v>
      </c>
      <c r="AY31" t="str">
        <f t="shared" si="10"/>
        <v>0</v>
      </c>
      <c r="BB31" s="16" t="s">
        <v>39</v>
      </c>
      <c r="BC31" t="s">
        <v>55</v>
      </c>
      <c r="BE31">
        <f>F10</f>
        <v>-32066</v>
      </c>
      <c r="BF31" s="32"/>
      <c r="BG31" s="32"/>
      <c r="BH31" s="32"/>
      <c r="BI31" s="32"/>
      <c r="BJ31" s="32"/>
      <c r="BK31" s="32"/>
      <c r="BL31" s="32"/>
      <c r="BM31" s="32"/>
      <c r="BN31" s="32"/>
      <c r="BO31" s="18"/>
      <c r="BP31" s="18"/>
    </row>
    <row r="32" spans="2:68" x14ac:dyDescent="0.45">
      <c r="AD32" s="12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BB32" s="15" t="s">
        <v>49</v>
      </c>
      <c r="BC32" s="13"/>
      <c r="BD32" s="13"/>
      <c r="BE32" s="13"/>
      <c r="BF32" s="32"/>
      <c r="BG32" s="32"/>
      <c r="BH32" s="32"/>
      <c r="BI32" s="32"/>
      <c r="BJ32" s="32"/>
      <c r="BK32" s="32"/>
      <c r="BL32" s="32"/>
      <c r="BM32" s="32"/>
      <c r="BN32" s="32"/>
      <c r="BO32" s="18"/>
      <c r="BP32" s="18"/>
    </row>
    <row r="33" spans="30:68" x14ac:dyDescent="0.45">
      <c r="AD33" s="12"/>
      <c r="AE33" t="str" cm="1">
        <f t="array" ref="AE33">summ(I9,I10)</f>
        <v>0000101101000110</v>
      </c>
      <c r="AG33" t="str" cm="1">
        <f t="array" ref="AG33">getchar($AE33,AG1)</f>
        <v>0</v>
      </c>
      <c r="AH33" t="str" cm="1">
        <f t="array" ref="AH33">getchar($AE33,AH1)</f>
        <v>0</v>
      </c>
      <c r="AI33" t="str" cm="1">
        <f t="array" ref="AI33">getchar($AE33,AI1)</f>
        <v>0</v>
      </c>
      <c r="AJ33" t="str" cm="1">
        <f t="array" ref="AJ33">getchar($AE33,AJ1)</f>
        <v>0</v>
      </c>
      <c r="AK33" t="str" cm="1">
        <f t="array" ref="AK33">getchar($AE33,AK1)</f>
        <v>.</v>
      </c>
      <c r="AL33" t="str" cm="1">
        <f t="array" ref="AL33">getchar($AE33,AL1)</f>
        <v>1</v>
      </c>
      <c r="AM33" t="str" cm="1">
        <f t="array" ref="AM33">getchar($AE33,AM1)</f>
        <v>0</v>
      </c>
      <c r="AN33" t="str" cm="1">
        <f t="array" ref="AN33">getchar($AE33,AN1)</f>
        <v>1</v>
      </c>
      <c r="AO33" t="str" cm="1">
        <f t="array" ref="AO33">getchar($AE33,AO1)</f>
        <v>1</v>
      </c>
      <c r="AP33" t="str" cm="1">
        <f t="array" ref="AP33">getchar($AE33,AP1)</f>
        <v>.</v>
      </c>
      <c r="AQ33" t="str" cm="1">
        <f t="array" ref="AQ33">getchar($AE33,AQ1)</f>
        <v>0</v>
      </c>
      <c r="AR33" t="str" cm="1">
        <f t="array" ref="AR33">getchar($AE33,AR1)</f>
        <v>1</v>
      </c>
      <c r="AS33" t="str" cm="1">
        <f t="array" ref="AS33">getchar($AE33,AS1)</f>
        <v>0</v>
      </c>
      <c r="AT33" t="str" cm="1">
        <f t="array" ref="AT33">getchar($AE33,AT1)</f>
        <v>0</v>
      </c>
      <c r="AU33" t="str" cm="1">
        <f t="array" ref="AU33">getchar($AE33,AU1)</f>
        <v>.</v>
      </c>
      <c r="AV33" t="str" cm="1">
        <f t="array" ref="AV33">getchar($AE33,AV1)</f>
        <v>0</v>
      </c>
      <c r="AW33" t="str" cm="1">
        <f t="array" ref="AW33">getchar($AE33,AW1)</f>
        <v>1</v>
      </c>
      <c r="AX33" t="str" cm="1">
        <f t="array" ref="AX33">getchar($AE33,AX1)</f>
        <v>1</v>
      </c>
      <c r="AY33" t="str" cm="1">
        <f t="array" ref="AY33">getchar($AE33,AY1)</f>
        <v>0</v>
      </c>
      <c r="AZ33" s="17" t="s">
        <v>49</v>
      </c>
      <c r="BA33" cm="1">
        <f t="array" ref="BA33">todec(AE33)</f>
        <v>2886</v>
      </c>
      <c r="BE33">
        <f>BE30+BE31</f>
        <v>-62650</v>
      </c>
      <c r="BF33" s="32"/>
      <c r="BG33" s="32"/>
      <c r="BH33" s="32"/>
      <c r="BI33" s="32"/>
      <c r="BJ33" s="32"/>
      <c r="BK33" s="32"/>
      <c r="BL33" s="32"/>
      <c r="BM33" s="32"/>
      <c r="BN33" s="32"/>
      <c r="BO33" s="18"/>
      <c r="BP33" s="18"/>
    </row>
    <row r="34" spans="30:68" x14ac:dyDescent="0.45">
      <c r="AD34" s="12"/>
      <c r="AF34" s="14"/>
    </row>
    <row r="35" spans="30:68" x14ac:dyDescent="0.45">
      <c r="AD35" s="12"/>
      <c r="AG35" s="15" t="s">
        <v>40</v>
      </c>
      <c r="AH35" s="15"/>
      <c r="AI35" s="15"/>
      <c r="AJ35">
        <f>IF(OR(AND(AG30 = 1, AG31 = 0, AG33 = 0), AND(AG30 = 1, AG31 = 1), AND(AG30 = 0, AG31 = 1, AG33 = 0)),1,0)</f>
        <v>0</v>
      </c>
      <c r="AL35" s="15" t="s">
        <v>41</v>
      </c>
      <c r="AM35" s="15"/>
      <c r="AN35" s="15"/>
      <c r="AO35">
        <f>IF(MOD(AQ33+AR33+AS33+AT33+AV33+AW33+AX33+AY33, 2) = 0, 1,0)</f>
        <v>0</v>
      </c>
      <c r="AQ35" s="15" t="s">
        <v>42</v>
      </c>
      <c r="AR35" s="15"/>
      <c r="AS35" s="15"/>
      <c r="AT35">
        <f>IF(OR(AND(AT30 = 0, AT31 = 1, AT33 = 0), AND(AT30 = 1, AT31 = 0, AT33 = 0), AND(AT30 = 0, AT31 = 0, AT33 = 1), AND(AT30 = 1, AT31 = 1, AT33 = 1)),1,0)</f>
        <v>0</v>
      </c>
      <c r="AV35" s="15" t="s">
        <v>43</v>
      </c>
      <c r="AW35" s="15"/>
      <c r="AX35" s="15"/>
      <c r="AY35">
        <f>IF(BA33=0, 1,0)</f>
        <v>0</v>
      </c>
      <c r="AZ35" s="15" t="s">
        <v>57</v>
      </c>
      <c r="BA35" t="str">
        <f>AG33</f>
        <v>0</v>
      </c>
      <c r="BB35" s="15" t="s">
        <v>58</v>
      </c>
      <c r="BC35">
        <f>IF(OR(AND(AG30 = 0, AG31 = 0, AG33 = 1), AND(AG30 = 1, AG31 = 1, AG33 = 0)),1,0)</f>
        <v>0</v>
      </c>
    </row>
    <row r="36" spans="30:68" x14ac:dyDescent="0.45">
      <c r="AD36" s="12"/>
    </row>
    <row r="37" spans="30:68" x14ac:dyDescent="0.45">
      <c r="AD37" s="12"/>
      <c r="AE37" t="s">
        <v>37</v>
      </c>
      <c r="AG37" t="str">
        <f t="shared" ref="AG37:AY37" si="11">K2</f>
        <v>0</v>
      </c>
      <c r="AH37" t="str">
        <f t="shared" si="11"/>
        <v>0</v>
      </c>
      <c r="AI37" t="str">
        <f t="shared" si="11"/>
        <v>0</v>
      </c>
      <c r="AJ37" t="str">
        <f t="shared" si="11"/>
        <v>0</v>
      </c>
      <c r="AK37" t="str">
        <f t="shared" si="11"/>
        <v>.</v>
      </c>
      <c r="AL37" t="str">
        <f t="shared" si="11"/>
        <v>0</v>
      </c>
      <c r="AM37" t="str">
        <f t="shared" si="11"/>
        <v>1</v>
      </c>
      <c r="AN37" t="str">
        <f t="shared" si="11"/>
        <v>0</v>
      </c>
      <c r="AO37" t="str">
        <f t="shared" si="11"/>
        <v>1</v>
      </c>
      <c r="AP37" t="str">
        <f t="shared" si="11"/>
        <v>.</v>
      </c>
      <c r="AQ37" t="str">
        <f t="shared" si="11"/>
        <v>1</v>
      </c>
      <c r="AR37" t="str">
        <f t="shared" si="11"/>
        <v>1</v>
      </c>
      <c r="AS37" t="str">
        <f t="shared" si="11"/>
        <v>0</v>
      </c>
      <c r="AT37" t="str">
        <f t="shared" si="11"/>
        <v>0</v>
      </c>
      <c r="AU37" t="str">
        <f t="shared" si="11"/>
        <v>.</v>
      </c>
      <c r="AV37" t="str">
        <f t="shared" si="11"/>
        <v>1</v>
      </c>
      <c r="AW37" t="str">
        <f t="shared" si="11"/>
        <v>0</v>
      </c>
      <c r="AX37" t="str">
        <f t="shared" si="11"/>
        <v>1</v>
      </c>
      <c r="AY37" t="str">
        <f t="shared" si="11"/>
        <v>0</v>
      </c>
      <c r="BC37" t="s">
        <v>50</v>
      </c>
      <c r="BE37">
        <f>F2</f>
        <v>1482</v>
      </c>
      <c r="BF37" s="32" t="str" cm="1">
        <f t="array" ref="BF37">getComment(BE37,BE38)</f>
        <v>Результат корректный</v>
      </c>
      <c r="BG37" s="32"/>
      <c r="BH37" s="32"/>
      <c r="BI37" s="32"/>
      <c r="BJ37" s="32"/>
      <c r="BK37" s="32"/>
      <c r="BL37" s="32"/>
      <c r="BM37" s="32"/>
      <c r="BN37" s="32"/>
      <c r="BO37" s="18"/>
      <c r="BP37" s="18"/>
    </row>
    <row r="38" spans="30:68" x14ac:dyDescent="0.45">
      <c r="AD38" s="16" t="s">
        <v>39</v>
      </c>
      <c r="AE38" t="s">
        <v>46</v>
      </c>
      <c r="AG38" t="str">
        <f t="shared" ref="AG38:AY38" si="12">K9</f>
        <v>1</v>
      </c>
      <c r="AH38" t="str">
        <f t="shared" si="12"/>
        <v>0</v>
      </c>
      <c r="AI38" t="str">
        <f t="shared" si="12"/>
        <v>0</v>
      </c>
      <c r="AJ38" t="str">
        <f t="shared" si="12"/>
        <v>0</v>
      </c>
      <c r="AK38" t="str">
        <f t="shared" si="12"/>
        <v>.</v>
      </c>
      <c r="AL38" t="str">
        <f t="shared" si="12"/>
        <v>1</v>
      </c>
      <c r="AM38" t="str">
        <f t="shared" si="12"/>
        <v>0</v>
      </c>
      <c r="AN38" t="str">
        <f t="shared" si="12"/>
        <v>0</v>
      </c>
      <c r="AO38" t="str">
        <f t="shared" si="12"/>
        <v>0</v>
      </c>
      <c r="AP38" t="str">
        <f t="shared" si="12"/>
        <v>.</v>
      </c>
      <c r="AQ38" t="str">
        <f t="shared" si="12"/>
        <v>1</v>
      </c>
      <c r="AR38" t="str">
        <f t="shared" si="12"/>
        <v>0</v>
      </c>
      <c r="AS38" t="str">
        <f t="shared" si="12"/>
        <v>0</v>
      </c>
      <c r="AT38" t="str">
        <f t="shared" si="12"/>
        <v>0</v>
      </c>
      <c r="AU38" t="str">
        <f t="shared" si="12"/>
        <v>.</v>
      </c>
      <c r="AV38" t="str">
        <f t="shared" si="12"/>
        <v>1</v>
      </c>
      <c r="AW38" t="str">
        <f t="shared" si="12"/>
        <v>0</v>
      </c>
      <c r="AX38" t="str">
        <f t="shared" si="12"/>
        <v>0</v>
      </c>
      <c r="AY38" t="str">
        <f t="shared" si="12"/>
        <v>0</v>
      </c>
      <c r="BB38" s="16" t="s">
        <v>39</v>
      </c>
      <c r="BC38" t="s">
        <v>54</v>
      </c>
      <c r="BE38">
        <f>F9</f>
        <v>-30584</v>
      </c>
      <c r="BF38" s="32"/>
      <c r="BG38" s="32"/>
      <c r="BH38" s="32"/>
      <c r="BI38" s="32"/>
      <c r="BJ38" s="32"/>
      <c r="BK38" s="32"/>
      <c r="BL38" s="32"/>
      <c r="BM38" s="32"/>
      <c r="BN38" s="32"/>
      <c r="BO38" s="18"/>
      <c r="BP38" s="18"/>
    </row>
    <row r="39" spans="30:68" x14ac:dyDescent="0.45"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BB39" s="15" t="s">
        <v>49</v>
      </c>
      <c r="BC39" s="13"/>
      <c r="BD39" s="13"/>
      <c r="BE39" s="13"/>
      <c r="BF39" s="32"/>
      <c r="BG39" s="32"/>
      <c r="BH39" s="32"/>
      <c r="BI39" s="32"/>
      <c r="BJ39" s="32"/>
      <c r="BK39" s="32"/>
      <c r="BL39" s="32"/>
      <c r="BM39" s="32"/>
      <c r="BN39" s="32"/>
      <c r="BO39" s="18"/>
      <c r="BP39" s="18"/>
    </row>
    <row r="40" spans="30:68" x14ac:dyDescent="0.45">
      <c r="AE40" t="str" cm="1">
        <f t="array" ref="AE40">summ(I2,I9)</f>
        <v>1000111001010010</v>
      </c>
      <c r="AG40" t="str" cm="1">
        <f t="array" ref="AG40">getchar($AE40,AG1)</f>
        <v>1</v>
      </c>
      <c r="AH40" t="str" cm="1">
        <f t="array" ref="AH40">getchar($AE40,AH1)</f>
        <v>0</v>
      </c>
      <c r="AI40" t="str" cm="1">
        <f t="array" ref="AI40">getchar($AE40,AI1)</f>
        <v>0</v>
      </c>
      <c r="AJ40" t="str" cm="1">
        <f t="array" ref="AJ40">getchar($AE40,AJ1)</f>
        <v>0</v>
      </c>
      <c r="AK40" t="str" cm="1">
        <f t="array" ref="AK40">getchar($AE40,AK1)</f>
        <v>.</v>
      </c>
      <c r="AL40" t="str" cm="1">
        <f t="array" ref="AL40">getchar($AE40,AL1)</f>
        <v>1</v>
      </c>
      <c r="AM40" t="str" cm="1">
        <f t="array" ref="AM40">getchar($AE40,AM1)</f>
        <v>1</v>
      </c>
      <c r="AN40" t="str" cm="1">
        <f t="array" ref="AN40">getchar($AE40,AN1)</f>
        <v>1</v>
      </c>
      <c r="AO40" t="str" cm="1">
        <f t="array" ref="AO40">getchar($AE40,AO1)</f>
        <v>0</v>
      </c>
      <c r="AP40" t="str" cm="1">
        <f t="array" ref="AP40">getchar($AE40,AP1)</f>
        <v>.</v>
      </c>
      <c r="AQ40" t="str" cm="1">
        <f t="array" ref="AQ40">getchar($AE40,AQ1)</f>
        <v>0</v>
      </c>
      <c r="AR40" t="str" cm="1">
        <f t="array" ref="AR40">getchar($AE40,AR1)</f>
        <v>1</v>
      </c>
      <c r="AS40" t="str" cm="1">
        <f t="array" ref="AS40">getchar($AE40,AS1)</f>
        <v>0</v>
      </c>
      <c r="AT40" t="str" cm="1">
        <f t="array" ref="AT40">getchar($AE40,AT1)</f>
        <v>1</v>
      </c>
      <c r="AU40" t="str" cm="1">
        <f t="array" ref="AU40">getchar($AE40,AU1)</f>
        <v>.</v>
      </c>
      <c r="AV40" t="str" cm="1">
        <f t="array" ref="AV40">getchar($AE40,AV1)</f>
        <v>0</v>
      </c>
      <c r="AW40" t="str" cm="1">
        <f t="array" ref="AW40">getchar($AE40,AW1)</f>
        <v>0</v>
      </c>
      <c r="AX40" t="str" cm="1">
        <f t="array" ref="AX40">getchar($AE40,AX1)</f>
        <v>1</v>
      </c>
      <c r="AY40" t="str" cm="1">
        <f t="array" ref="AY40">getchar($AE40,AY1)</f>
        <v>0</v>
      </c>
      <c r="AZ40" s="17" t="s">
        <v>49</v>
      </c>
      <c r="BA40" cm="1">
        <f t="array" ref="BA40">todec(AE40)</f>
        <v>-29102</v>
      </c>
      <c r="BE40">
        <f>BE37+BE38</f>
        <v>-29102</v>
      </c>
      <c r="BF40" s="32"/>
      <c r="BG40" s="32"/>
      <c r="BH40" s="32"/>
      <c r="BI40" s="32"/>
      <c r="BJ40" s="32"/>
      <c r="BK40" s="32"/>
      <c r="BL40" s="32"/>
      <c r="BM40" s="32"/>
      <c r="BN40" s="32"/>
      <c r="BO40" s="18"/>
      <c r="BP40" s="18"/>
    </row>
    <row r="41" spans="30:68" x14ac:dyDescent="0.45">
      <c r="AF41" s="14"/>
    </row>
    <row r="42" spans="30:68" x14ac:dyDescent="0.45">
      <c r="AG42" s="15" t="s">
        <v>40</v>
      </c>
      <c r="AH42" s="15"/>
      <c r="AI42" s="15"/>
      <c r="AJ42">
        <f>IF(OR(AND(AG37 = 1, AG38 = 0, AG40 = 0), AND(AG37 = 1, AG38 = 1), AND(AG37 = 0, AG38 = 1, AG40 = 0)),1,0)</f>
        <v>0</v>
      </c>
      <c r="AL42" s="15" t="s">
        <v>41</v>
      </c>
      <c r="AM42" s="15"/>
      <c r="AN42" s="15"/>
      <c r="AO42">
        <f>IF(MOD(AQ40+AR40+AS40+AT40+AV40+AW40+AX40+AY40, 2) = 0, 1,0)</f>
        <v>0</v>
      </c>
      <c r="AQ42" s="15" t="s">
        <v>42</v>
      </c>
      <c r="AR42" s="15"/>
      <c r="AS42" s="15"/>
      <c r="AT42">
        <f>IF(OR(AND(AT37 = 0, AT38 = 1, AT40 = 0), AND(AT37 = 1, AT38 = 0, AT40 = 0), AND(AT37 = 0, AT38 = 0, AT40 = 1), AND(AT37 = 1, AT38 = 1, AT40 = 1)),1,0)</f>
        <v>0</v>
      </c>
      <c r="AV42" s="15" t="s">
        <v>43</v>
      </c>
      <c r="AW42" s="15"/>
      <c r="AX42" s="15"/>
      <c r="AY42">
        <f>IF(BA40=0, 1,0)</f>
        <v>0</v>
      </c>
      <c r="AZ42" s="15" t="s">
        <v>57</v>
      </c>
      <c r="BA42" t="str">
        <f>AG40</f>
        <v>1</v>
      </c>
      <c r="BB42" s="15" t="s">
        <v>58</v>
      </c>
      <c r="BC42">
        <f>IF(OR(AND(AG37 = 0, AG38 = 0, AG40 = 1), AND(AG37 = 1, AG38 = 1, AG40 = 0)),1,0)</f>
        <v>0</v>
      </c>
    </row>
    <row r="44" spans="30:68" x14ac:dyDescent="0.45">
      <c r="AD44" s="12"/>
      <c r="AE44" t="s">
        <v>48</v>
      </c>
      <c r="AG44" t="str">
        <f t="shared" ref="AG44:AY44" si="13">K12</f>
        <v>1</v>
      </c>
      <c r="AH44" t="str">
        <f t="shared" si="13"/>
        <v>0</v>
      </c>
      <c r="AI44" t="str">
        <f t="shared" si="13"/>
        <v>0</v>
      </c>
      <c r="AJ44" t="str">
        <f t="shared" si="13"/>
        <v>0</v>
      </c>
      <c r="AK44" t="str">
        <f t="shared" si="13"/>
        <v>.</v>
      </c>
      <c r="AL44" t="str">
        <f t="shared" si="13"/>
        <v>1</v>
      </c>
      <c r="AM44" t="str">
        <f t="shared" si="13"/>
        <v>1</v>
      </c>
      <c r="AN44" t="str">
        <f t="shared" si="13"/>
        <v>1</v>
      </c>
      <c r="AO44" t="str">
        <f t="shared" si="13"/>
        <v>0</v>
      </c>
      <c r="AP44" t="str">
        <f t="shared" si="13"/>
        <v>.</v>
      </c>
      <c r="AQ44" t="str">
        <f t="shared" si="13"/>
        <v>0</v>
      </c>
      <c r="AR44" t="str">
        <f t="shared" si="13"/>
        <v>1</v>
      </c>
      <c r="AS44" t="str">
        <f t="shared" si="13"/>
        <v>0</v>
      </c>
      <c r="AT44" t="str">
        <f t="shared" si="13"/>
        <v>1</v>
      </c>
      <c r="AU44" t="str">
        <f t="shared" si="13"/>
        <v>.</v>
      </c>
      <c r="AV44" t="str">
        <f t="shared" si="13"/>
        <v>0</v>
      </c>
      <c r="AW44" t="str">
        <f t="shared" si="13"/>
        <v>0</v>
      </c>
      <c r="AX44" t="str">
        <f t="shared" si="13"/>
        <v>1</v>
      </c>
      <c r="AY44" t="str">
        <f t="shared" si="13"/>
        <v>0</v>
      </c>
      <c r="BC44" t="s">
        <v>56</v>
      </c>
      <c r="BE44">
        <f>F12</f>
        <v>-29102</v>
      </c>
      <c r="BF44" s="32" t="str" cm="1">
        <f t="array" ref="BF44">getComment(BE44,BE45)</f>
        <v>Результат корректный. Перенос из старшего разряда не учитывается</v>
      </c>
      <c r="BG44" s="32"/>
      <c r="BH44" s="32"/>
      <c r="BI44" s="32"/>
      <c r="BJ44" s="32"/>
      <c r="BK44" s="32"/>
      <c r="BL44" s="32"/>
      <c r="BM44" s="32"/>
      <c r="BN44" s="32"/>
      <c r="BO44" s="18"/>
      <c r="BP44" s="18"/>
    </row>
    <row r="45" spans="30:68" x14ac:dyDescent="0.45">
      <c r="AD45" s="16" t="s">
        <v>39</v>
      </c>
      <c r="AE45" t="s">
        <v>44</v>
      </c>
      <c r="AG45" t="str">
        <f t="shared" ref="AG45:AY45" si="14">K4</f>
        <v>0</v>
      </c>
      <c r="AH45" t="str">
        <f t="shared" si="14"/>
        <v>1</v>
      </c>
      <c r="AI45" t="str">
        <f t="shared" si="14"/>
        <v>1</v>
      </c>
      <c r="AJ45" t="str">
        <f t="shared" si="14"/>
        <v>1</v>
      </c>
      <c r="AK45" t="str">
        <f t="shared" si="14"/>
        <v>.</v>
      </c>
      <c r="AL45" t="str">
        <f t="shared" si="14"/>
        <v>1</v>
      </c>
      <c r="AM45" t="str">
        <f t="shared" si="14"/>
        <v>1</v>
      </c>
      <c r="AN45" t="str">
        <f t="shared" si="14"/>
        <v>0</v>
      </c>
      <c r="AO45" t="str">
        <f t="shared" si="14"/>
        <v>1</v>
      </c>
      <c r="AP45" t="str">
        <f t="shared" si="14"/>
        <v>.</v>
      </c>
      <c r="AQ45" t="str">
        <f t="shared" si="14"/>
        <v>0</v>
      </c>
      <c r="AR45" t="str">
        <f t="shared" si="14"/>
        <v>1</v>
      </c>
      <c r="AS45" t="str">
        <f t="shared" si="14"/>
        <v>0</v>
      </c>
      <c r="AT45" t="str">
        <f t="shared" si="14"/>
        <v>0</v>
      </c>
      <c r="AU45" t="str">
        <f t="shared" si="14"/>
        <v>.</v>
      </c>
      <c r="AV45" t="str">
        <f t="shared" si="14"/>
        <v>0</v>
      </c>
      <c r="AW45" t="str">
        <f t="shared" si="14"/>
        <v>0</v>
      </c>
      <c r="AX45" t="str">
        <f t="shared" si="14"/>
        <v>1</v>
      </c>
      <c r="AY45" t="str">
        <f t="shared" si="14"/>
        <v>0</v>
      </c>
      <c r="BB45" s="16" t="s">
        <v>39</v>
      </c>
      <c r="BC45" t="s">
        <v>52</v>
      </c>
      <c r="BE45">
        <f>F4</f>
        <v>32066</v>
      </c>
      <c r="BF45" s="32"/>
      <c r="BG45" s="32"/>
      <c r="BH45" s="32"/>
      <c r="BI45" s="32"/>
      <c r="BJ45" s="32"/>
      <c r="BK45" s="32"/>
      <c r="BL45" s="32"/>
      <c r="BM45" s="32"/>
      <c r="BN45" s="32"/>
      <c r="BO45" s="18"/>
      <c r="BP45" s="18"/>
    </row>
    <row r="46" spans="30:68" x14ac:dyDescent="0.45"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BB46" s="15" t="s">
        <v>49</v>
      </c>
      <c r="BC46" s="13"/>
      <c r="BD46" s="13"/>
      <c r="BE46" s="13"/>
      <c r="BF46" s="32"/>
      <c r="BG46" s="32"/>
      <c r="BH46" s="32"/>
      <c r="BI46" s="32"/>
      <c r="BJ46" s="32"/>
      <c r="BK46" s="32"/>
      <c r="BL46" s="32"/>
      <c r="BM46" s="32"/>
      <c r="BN46" s="32"/>
      <c r="BO46" s="18"/>
      <c r="BP46" s="18"/>
    </row>
    <row r="47" spans="30:68" x14ac:dyDescent="0.45">
      <c r="AE47" t="str" cm="1">
        <f t="array" ref="AE47">summ(I12,I4)</f>
        <v>0000101110010100</v>
      </c>
      <c r="AG47" t="str" cm="1">
        <f t="array" ref="AG47">getchar($AE47,AG1)</f>
        <v>0</v>
      </c>
      <c r="AH47" t="str" cm="1">
        <f t="array" ref="AH47">getchar($AE47,AH1)</f>
        <v>0</v>
      </c>
      <c r="AI47" t="str" cm="1">
        <f t="array" ref="AI47">getchar($AE47,AI1)</f>
        <v>0</v>
      </c>
      <c r="AJ47" t="str" cm="1">
        <f t="array" ref="AJ47">getchar($AE47,AJ1)</f>
        <v>0</v>
      </c>
      <c r="AK47" t="str" cm="1">
        <f t="array" ref="AK47">getchar($AE47,AK1)</f>
        <v>.</v>
      </c>
      <c r="AL47" t="str" cm="1">
        <f t="array" ref="AL47">getchar($AE47,AL1)</f>
        <v>1</v>
      </c>
      <c r="AM47" t="str" cm="1">
        <f t="array" ref="AM47">getchar($AE47,AM1)</f>
        <v>0</v>
      </c>
      <c r="AN47" t="str" cm="1">
        <f t="array" ref="AN47">getchar($AE47,AN1)</f>
        <v>1</v>
      </c>
      <c r="AO47" t="str" cm="1">
        <f t="array" ref="AO47">getchar($AE47,AO1)</f>
        <v>1</v>
      </c>
      <c r="AP47" t="str" cm="1">
        <f t="array" ref="AP47">getchar($AE47,AP1)</f>
        <v>.</v>
      </c>
      <c r="AQ47" t="str" cm="1">
        <f t="array" ref="AQ47">getchar($AE47,AQ1)</f>
        <v>1</v>
      </c>
      <c r="AR47" t="str" cm="1">
        <f t="array" ref="AR47">getchar($AE47,AR1)</f>
        <v>0</v>
      </c>
      <c r="AS47" t="str" cm="1">
        <f t="array" ref="AS47">getchar($AE47,AS1)</f>
        <v>0</v>
      </c>
      <c r="AT47" t="str" cm="1">
        <f t="array" ref="AT47">getchar($AE47,AT1)</f>
        <v>1</v>
      </c>
      <c r="AU47" t="str" cm="1">
        <f t="array" ref="AU47">getchar($AE47,AU1)</f>
        <v>.</v>
      </c>
      <c r="AV47" t="str" cm="1">
        <f t="array" ref="AV47">getchar($AE47,AV1)</f>
        <v>0</v>
      </c>
      <c r="AW47" t="str" cm="1">
        <f t="array" ref="AW47">getchar($AE47,AW1)</f>
        <v>1</v>
      </c>
      <c r="AX47" t="str" cm="1">
        <f t="array" ref="AX47">getchar($AE47,AX1)</f>
        <v>0</v>
      </c>
      <c r="AY47" t="str" cm="1">
        <f t="array" ref="AY47">getchar($AE47,AY1)</f>
        <v>0</v>
      </c>
      <c r="AZ47" s="17" t="s">
        <v>49</v>
      </c>
      <c r="BA47" cm="1">
        <f t="array" ref="BA47">todec(AE47)</f>
        <v>2964</v>
      </c>
      <c r="BE47">
        <f>BE44+BE45</f>
        <v>2964</v>
      </c>
      <c r="BF47" s="32"/>
      <c r="BG47" s="32"/>
      <c r="BH47" s="32"/>
      <c r="BI47" s="32"/>
      <c r="BJ47" s="32"/>
      <c r="BK47" s="32"/>
      <c r="BL47" s="32"/>
      <c r="BM47" s="32"/>
      <c r="BN47" s="32"/>
      <c r="BO47" s="18"/>
      <c r="BP47" s="18"/>
    </row>
    <row r="48" spans="30:68" x14ac:dyDescent="0.45">
      <c r="AF48" s="14"/>
    </row>
    <row r="49" spans="33:55" x14ac:dyDescent="0.45">
      <c r="AG49" s="15" t="s">
        <v>40</v>
      </c>
      <c r="AH49" s="15"/>
      <c r="AI49" s="15"/>
      <c r="AJ49">
        <f>IF(OR(AND(AG44 = 1, AG45 = 0, AG47 = 0), AND(AG44 = 1, AG45 = 1), AND(AG44 = 0, AG45 = 1, AG47 = 0)),1,0)</f>
        <v>0</v>
      </c>
      <c r="AL49" s="15" t="s">
        <v>41</v>
      </c>
      <c r="AM49" s="15"/>
      <c r="AN49" s="15"/>
      <c r="AO49">
        <f>IF(MOD(AQ47+AR47+AS47+AT47+AV47+AW47+AX47+AY47, 2) = 0, 1,0)</f>
        <v>0</v>
      </c>
      <c r="AQ49" s="15" t="s">
        <v>42</v>
      </c>
      <c r="AR49" s="15"/>
      <c r="AS49" s="15"/>
      <c r="AT49">
        <f>IF(OR(AND(AT44 = 0, AT45 = 1, AT47 = 0), AND(AT44 = 1, AT45 = 0, AT47 = 0), AND(AT44 = 0, AT45 = 0, AT47 = 1), AND(AT44 = 1, AT45 = 1, AT47 = 1)),1,0)</f>
        <v>0</v>
      </c>
      <c r="AV49" s="15" t="s">
        <v>43</v>
      </c>
      <c r="AW49" s="15"/>
      <c r="AX49" s="15"/>
      <c r="AY49">
        <f>IF(BA47=0, 1,0)</f>
        <v>0</v>
      </c>
      <c r="AZ49" s="15" t="s">
        <v>57</v>
      </c>
      <c r="BA49" t="str">
        <f>AG47</f>
        <v>0</v>
      </c>
      <c r="BB49" s="15" t="s">
        <v>58</v>
      </c>
      <c r="BC49">
        <f>IF(OR(AND(AG44 = 0, AG45 = 0, AG47 = 1), AND(AG44 = 1, AG45 = 1, AG47 = 0)),1,0)</f>
        <v>0</v>
      </c>
    </row>
  </sheetData>
  <mergeCells count="7">
    <mergeCell ref="BF37:BN40"/>
    <mergeCell ref="BF44:BN47"/>
    <mergeCell ref="BF2:BN5"/>
    <mergeCell ref="BF9:BN12"/>
    <mergeCell ref="BF16:BN19"/>
    <mergeCell ref="BF23:BN26"/>
    <mergeCell ref="BF30:BN33"/>
  </mergeCells>
  <conditionalFormatting sqref="K2:AC13">
    <cfRule type="cellIs" dxfId="1" priority="1" operator="equal">
      <formula>"1"</formula>
    </cfRule>
    <cfRule type="cellIs" dxfId="0" priority="2" operator="equal">
      <formula>"0"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&amp;LВариант №7&amp;C&amp;KFFFFFFКовыршин Александр Сергеевич&amp;Rлаб5инф</oddHeader>
    <oddFooter>&amp;C&amp;KFFFFFF15 ‎ноября ‎2024 ‎г., ‏‎22:33:13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Ковыршин Александр Сергеевич</dc:creator>
  <cp:lastModifiedBy>Alexandr Kovyrshin</cp:lastModifiedBy>
  <cp:lastPrinted>2024-11-17T23:48:23Z</cp:lastPrinted>
  <dcterms:created xsi:type="dcterms:W3CDTF">2024-11-14T17:10:42Z</dcterms:created>
  <dcterms:modified xsi:type="dcterms:W3CDTF">2024-11-21T17:21:38Z</dcterms:modified>
</cp:coreProperties>
</file>